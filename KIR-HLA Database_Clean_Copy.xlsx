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045CC9F6-00F4-428E-B765-61E2A7BDEAA0}" xr6:coauthVersionLast="47" xr6:coauthVersionMax="47" xr10:uidLastSave="{00000000-0000-0000-0000-000000000000}"/>
  <bookViews>
    <workbookView xWindow="-98" yWindow="-98" windowWidth="22695" windowHeight="14595" firstSheet="1" xr2:uid="{00000000-000D-0000-FFFF-FFFF00000000}"/>
  </bookViews>
  <sheets>
    <sheet name="Supplemental Table 1" sheetId="8" r:id="rId1"/>
    <sheet name="Supplemental Table 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8" l="1"/>
  <c r="D30" i="8"/>
  <c r="D13" i="8"/>
  <c r="D29" i="8"/>
  <c r="D17" i="8"/>
  <c r="D28" i="8"/>
  <c r="D12" i="8"/>
  <c r="D11" i="8"/>
  <c r="D10" i="8"/>
  <c r="D27" i="8"/>
  <c r="D26" i="8"/>
  <c r="D9" i="8"/>
  <c r="D25" i="8"/>
  <c r="D8" i="8"/>
  <c r="D7" i="8"/>
  <c r="D24" i="8"/>
  <c r="D16" i="8"/>
  <c r="D23" i="8"/>
  <c r="D22" i="8"/>
  <c r="D15" i="8"/>
  <c r="D6" i="8"/>
  <c r="D21" i="8"/>
  <c r="D20" i="8"/>
  <c r="D5" i="8"/>
  <c r="D19" i="8"/>
  <c r="D14" i="8"/>
  <c r="D4" i="8"/>
  <c r="D3" i="8"/>
</calcChain>
</file>

<file path=xl/sharedStrings.xml><?xml version="1.0" encoding="utf-8"?>
<sst xmlns="http://schemas.openxmlformats.org/spreadsheetml/2006/main" count="644" uniqueCount="308">
  <si>
    <t>Source</t>
  </si>
  <si>
    <t>Date</t>
  </si>
  <si>
    <t>Individualized Constellation of Killer Cell Immunoglobulin-Like Receptors and Cognate HLA Class I Ligands that Controls Natural Killer Cell Antiviral Immunity Predisposes COVID-19</t>
  </si>
  <si>
    <t>N/A</t>
  </si>
  <si>
    <t>Healthy controls vs chronic carriage of Hepatitis C</t>
  </si>
  <si>
    <t>KIR2DL2 combined with HLA-C1 confers risk of hepatitis C virus-related hepatocellular carcinoma in younger patients</t>
  </si>
  <si>
    <t>787 HCV positive patients and 325 controls</t>
  </si>
  <si>
    <t>Control vs HCV cases, 5.1% vs 8%, p = 0.061, OR = 0.62, CI = 0.37-1.03</t>
  </si>
  <si>
    <t>Odds ratio &lt; 1 indicates a protective association against Hepatitis C</t>
  </si>
  <si>
    <t>Association of HLA Class-I and Inhibitory KIR Genotypes in Gabonese Patients Infected by Chikungunya or Dengue Type-2 Viruses</t>
  </si>
  <si>
    <t>73 CHIKV infected males and 54 healthy indivduals</t>
  </si>
  <si>
    <t>Healthy controls vs Chikungunya (CHIKV) infection</t>
  </si>
  <si>
    <t>Odds ratio &gt; 1 indicates an increased risk association with CHIKV</t>
  </si>
  <si>
    <t>HCV cases vs healthy controls, 13.1% vs 20.9%, p = 0.00099, OR = 0.57, CI = 0.41-0.80</t>
  </si>
  <si>
    <t xml:space="preserve">55 Dengue infected males and 54 healthy indivduals </t>
  </si>
  <si>
    <t>CHIKV vs healthy controls, 91.7% vs 68.1%, p = 0.0048, OR = 5.16, CI = 1.56-17.00</t>
  </si>
  <si>
    <t>Dengue infected vs healthy controls, 65% vs 68.1%, p = 0.82, OR = 0.87, CI = 0.36-2.13</t>
  </si>
  <si>
    <t>No significant associations</t>
  </si>
  <si>
    <t>KIR-like activating natural killer cell receptors and their association with complicated malaria in north India</t>
  </si>
  <si>
    <t>Complicated malaria patients vs uncomplicated malaria patients</t>
  </si>
  <si>
    <t>213 complicated malaria cases and 87 uncomplicated malaria cases</t>
  </si>
  <si>
    <t>Odds ratio &gt; 1 indicates susceptibilty to complicated malaria</t>
  </si>
  <si>
    <t>2DL1+ significantly associated with complicated malaria</t>
  </si>
  <si>
    <t>Activating KIRs alter susceptibility to pulmonary tuberculosis in a South African population</t>
  </si>
  <si>
    <t>Healthy controls vs pulmonary TB infected</t>
  </si>
  <si>
    <t>TB cases vs controls, 66% vs 68%, p = 0.564</t>
  </si>
  <si>
    <t>Odds ratio &lt; 1 indicates a protective association against COVID-19 disease</t>
  </si>
  <si>
    <t xml:space="preserve">No significant associations </t>
  </si>
  <si>
    <t>Analysis of KIR and HLA polymorphism in Chinese individuals with COVID-19</t>
  </si>
  <si>
    <t>Association of KIR Genes with Middle East Respiratory Syndrome Coronavirus Infection in South Koreans</t>
  </si>
  <si>
    <t>Odds ratio &lt; 1 indicates protective association against COVID-19 disease</t>
  </si>
  <si>
    <t>Coronavirus-19 disease risk and protective factors associated with HLA/KIR polymorphisms in Ecuadorian patients residing in Madrid</t>
  </si>
  <si>
    <t>Role of the Killer Immunoglobulin-like Receptor and Human Leukocyte Antigen I Complex Polymorphisms in Kaposi Sarcoma-Associated Herpesvirus Infection</t>
  </si>
  <si>
    <t xml:space="preserve">KSHV positive vs negative </t>
  </si>
  <si>
    <t>Odds ratio &lt; 1 indicates protection against KSHV</t>
  </si>
  <si>
    <t>The effect of KIR and HLA polymorphisms on dengue infection and disease severity in northeastern Thais</t>
  </si>
  <si>
    <t xml:space="preserve">Dengue patients vs healthy controls </t>
  </si>
  <si>
    <t>Dengue positve vs healthy control, 88.5% vs 87.7%, OR = 0.7, CI = 0.40-1.21</t>
  </si>
  <si>
    <t>Odds ratio &lt; 1 indicates protection against dengue infection</t>
  </si>
  <si>
    <t>Natural killer cell receptor variants and chronic hepatitis B virus infection in the Vietnamese population</t>
  </si>
  <si>
    <t>Healthy patients vs chronic hepatitis B patients</t>
  </si>
  <si>
    <t xml:space="preserve">Odds ratio &lt; 1 associated with protection against hepatitis B </t>
  </si>
  <si>
    <t>Killer-cell immunoglobulin-like receptors associate with HIV-1 infection in a narrow-source Han Chinese cohort</t>
  </si>
  <si>
    <t>SM cohort (N=261), healthy controls (N=52)</t>
  </si>
  <si>
    <t>SM patients vs healthy controls, 50% vs 51%, p = 0.828, OR = 0.96, CI = 0.53-1.74</t>
  </si>
  <si>
    <t>SM patients vs healthy controls, 22.6% vs 19.1%, p = 0.355, OR = 1.24, CI = 0.58 - 2.62</t>
  </si>
  <si>
    <t>Odds ratio &lt; 1 associated with protection against HIV</t>
  </si>
  <si>
    <t>Protective KIR-HLA interactions for HCV infection in intravenous drug users</t>
  </si>
  <si>
    <t xml:space="preserve"> 160 Puerto Rican intravenous drug users (IDUs) with HCV infection and 92 HCV-negative
Puerto Rican IDUs</t>
  </si>
  <si>
    <t>Patient vs controls, 33.7% vs 53.3%, p = 0.02, OR = 0.43, CI = 0.24-0.75</t>
  </si>
  <si>
    <t>Odds ratio &lt; 1 associated with protection against HCV infection in IDUs</t>
  </si>
  <si>
    <t>Susceptibility to pulmonary tuberculosis in Iranian individuals is not affected by compound KIR/HLA genotype</t>
  </si>
  <si>
    <t>107 patients vs 100 matched controls</t>
  </si>
  <si>
    <t>Patients vs controls, 41.1% vs 33%, p = 0.239, OR = 1.42, CI = 0.81-2.47</t>
  </si>
  <si>
    <t>Odds ratio &lt; 1 associated with protection against TB</t>
  </si>
  <si>
    <t>Killer-cell immunoglobulin-like receptors and malaria caused by Plasmodium falciparum in The Gambia</t>
  </si>
  <si>
    <t>Malaria cases vs controls</t>
  </si>
  <si>
    <t>188 uncomplicated malaria vs 314 control samples</t>
  </si>
  <si>
    <t>Patients vs controls, 71.4% vs 63.7%, p = 0.097, OR = 1.41, CI = 0.96-2.09</t>
  </si>
  <si>
    <t>Patients vs controls, 17.4% vs 13.7%, p = 0.249 , OR = 1.34, CI = 0.82-2.2</t>
  </si>
  <si>
    <t>Odds ratio &lt; 1 associated with protection against malaria</t>
  </si>
  <si>
    <t>Influence of HLA‐C environment on the spontaneous clearance of hepatitis C in European HIV–HCV co‐infected individuals</t>
  </si>
  <si>
    <t>57 European spontaneous clearance vs 134 European coinfected individuals</t>
  </si>
  <si>
    <t>Spontaneous clearance vs coinfected, 28.1% vs 13.6%, p = 0.021, OR = 2.48, CI = 1.14-5.39</t>
  </si>
  <si>
    <t>Spontaneous clearance vs coinfection, 19.3% vs 10.4%, p = 0.1, OR = 2.06, CI = 0.85-4.94)</t>
  </si>
  <si>
    <t>Odds ratio &gt; 1 associated with spontaenous resolution of HCV</t>
  </si>
  <si>
    <t>Human leukocyte antigen-C and killer cell immunoglobulin-like receptor gene polymorphisms among patients with syphilis in a Chinese Han population</t>
  </si>
  <si>
    <t xml:space="preserve">Syphillis patients vs controls </t>
  </si>
  <si>
    <t>247 controls vs 231 syphillis patients</t>
  </si>
  <si>
    <t>Controls vs syphillis patients, 7.69% vs 9.09%, p = 0.581. OR = 1.2, CI = 0.63-2.29</t>
  </si>
  <si>
    <t>Controls vs syphillis patients, 4.45% vs 6.06%, p = 0.430, OR = 1.384, CI = 0.62-3.11</t>
  </si>
  <si>
    <t>Odds ratio &lt; 1 associated with protection against syphillis</t>
  </si>
  <si>
    <t>No significant  associations</t>
  </si>
  <si>
    <t>24 infected vs 74 non infected</t>
  </si>
  <si>
    <t xml:space="preserve">Odds ratio &lt; 1 associated with protection against HCV </t>
  </si>
  <si>
    <t>Influence of HLA class I, HLA class II and KIRs on vertical transmission and chronicity of hepatitis C virus in children</t>
  </si>
  <si>
    <t xml:space="preserve">Infected mothers and non infected mothers </t>
  </si>
  <si>
    <t>KIR : HLA association with clinical manifestations of HBV infection in Madurai, south India</t>
  </si>
  <si>
    <t>15 acute HBV, 43 asymptomatic carriers, 27 chronic HBV</t>
  </si>
  <si>
    <t xml:space="preserve">Odds ratio &lt; 1 assoicated with protection against hepatitis B </t>
  </si>
  <si>
    <t>Influence of KIR genes and their HLA ligands in susceptibility to dengue in a population from southern Brazil</t>
  </si>
  <si>
    <t>104 patients and 172 in control group</t>
  </si>
  <si>
    <t>Patients vs controls, 75% vs 62.2%, p = 0.0396, OR = 1.82, CI = 1.06-3.13</t>
  </si>
  <si>
    <t>Patients vs controls, 40.4% vs 25.6%, p = 0.0147, OR = 1.97, CI = 1.17-3.32</t>
  </si>
  <si>
    <t>Odds ratio &lt; 1 associated with protection against Dengue</t>
  </si>
  <si>
    <t>Killer-cell immunoglobulin-like receptor polymorphism is associated with COVID-19 outcome: Results of a pilot observational study</t>
  </si>
  <si>
    <t xml:space="preserve">All Patients vs controls, 59.8% vs 62.2%, p = 0.418, OR = 0.90, CI = 0.71-1.15
No siginifcant association either in severe vs moderate </t>
  </si>
  <si>
    <t xml:space="preserve">All Patients vs controls, 24.5% vs 24.3%, p = 0.949, OR = 1.01, CI = 0.76-1.34
No significnt association either in severe vs moderate </t>
  </si>
  <si>
    <t>Odds ratio &lt; 1 associated with protection against COVID-19</t>
  </si>
  <si>
    <t>Asymptomatic vs symptomatic CMV infections</t>
  </si>
  <si>
    <t>HLA and Killer Cell Immunoglobulin-like Receptors Influence the Natural Course of CMV Infection </t>
  </si>
  <si>
    <t>60 patients with primary symptomatic infection vs 60 subjects with previous asymptomatic infection as controls</t>
  </si>
  <si>
    <t>Symptomatic vs non symptomatic, 30% vs 32%, p = 0.84, OR = 0.92</t>
  </si>
  <si>
    <t>Odds ratio &lt; 1 associated with asymptomatic infection</t>
  </si>
  <si>
    <t>No significant associaitons</t>
  </si>
  <si>
    <t>Relationship between KIR genotypes and HLA-ligands with SARS-CoV-2 infection in the Saudi population</t>
  </si>
  <si>
    <t>Natural killer-cell immunoglobulin-like receptors trigger differences in immune response to SARS-CoV-2 infection</t>
  </si>
  <si>
    <t>Symptomatic or paucisymptomatic patients vs severe disease patients</t>
  </si>
  <si>
    <t>240 symptomatic (group A) vs 156 severe disease patients (group S)</t>
  </si>
  <si>
    <t>Group A vs Group S, 76.3% vs 71.2%, p = 0.29, OR = 0.8, CI = 0.5-1.2</t>
  </si>
  <si>
    <t>Group A vs Group S, 36.3% vs 33.3%, p = 0.59, OR = 0.9, CI = 0.6-1.3</t>
  </si>
  <si>
    <t>Odds ratio &lt; 1 associated with protection against severe disease</t>
  </si>
  <si>
    <t>INR vs FR, 60% vs 66%, p = 0.24, OR = 0.23, CI = 0.01-3.39</t>
  </si>
  <si>
    <t>Odds ratio &gt; 1 associated with being a immunological non responder</t>
  </si>
  <si>
    <t>Killer Cell Immunoglobulin-like Receptors and Their HLA Ligands are Related with the Immunopathology of Chagas Disease</t>
  </si>
  <si>
    <t>Control group of healthy individuals vs diagnosed Chagas disease patients</t>
  </si>
  <si>
    <t xml:space="preserve">131 chronic Chagas disease patients vs 165 healthy controls </t>
  </si>
  <si>
    <t>Odds ratio &lt; 1 associated with protection against chornic disease</t>
  </si>
  <si>
    <t>The impact of KIR–HLA genotype on hepatitis B virus clearance in Iranian infected individuals</t>
  </si>
  <si>
    <t>Healthy controls vs chronic carriage of Hepatitis B</t>
  </si>
  <si>
    <t>50 recovered individuals vs 100 healthy controls</t>
  </si>
  <si>
    <t>Controls vs recovered individuals, 68% vs 76.9%, p = 0.171, OR = 1.88, CI = 0.84-4.22</t>
  </si>
  <si>
    <t>Controls vs recovered individuals, 33% vs 57.6%, p = 0.003, OR = 3.05, CI = 1.51-6.13</t>
  </si>
  <si>
    <t>Odds ratio &gt; 1 associated with recovery from disease</t>
  </si>
  <si>
    <t>Significant association between KIR2DS1-C2 and recovery</t>
  </si>
  <si>
    <t>Disease</t>
  </si>
  <si>
    <t>Malaria</t>
  </si>
  <si>
    <t>Syphillis</t>
  </si>
  <si>
    <t>COVID-19</t>
  </si>
  <si>
    <t>Hepatitis B</t>
  </si>
  <si>
    <t>Hepatitis C</t>
  </si>
  <si>
    <t>HIV</t>
  </si>
  <si>
    <t xml:space="preserve">N/A due to insufficient data </t>
  </si>
  <si>
    <t xml:space="preserve">N/A
</t>
  </si>
  <si>
    <t>Total 2DS1 carriers:
Complicated: 132/213
Uncomplicated: 54/87
2DS1 with C2:
Complicated: 60/132
Uncomplicated: 33/54
2DS1 without C2:
Complicated: 72/132
Uncomplicated: 21/54</t>
  </si>
  <si>
    <t>Total 2DS1 carriers: 
Controls: 42/87
Cases: 27/52
2DS1+HLAC2+: 
Controls: 31/42
Cases: 15/27
2DS1+HLAC2-:
Controls: 9/42
Cases: 12/27</t>
  </si>
  <si>
    <t>2DS1 carriers:
Controls: 111/235
Cases: 95/253
2DS1+HLA-C2+:
Controls:  32/111
Cases: 25/95
2DS1+HLA-C2+:
Controls: 79/111
Cases: 70/95</t>
  </si>
  <si>
    <t>2DS1 carriers:
Patients: 91/261
Controls: 94/252
2DS1+HLAC2+:
Patients: 53/91
Controls: 48/94
2DS1+HLAC2-:
Patients: 38/53
Controls: 26/94</t>
  </si>
  <si>
    <t>2DS1 Carriers:
Controls: 46/100
Cases: 46/107
2DS1+HLAC2+:
Controls: 33/46
Cases: 44/46
2DS1+HLAC2-:
Controls: 13/46
Cases: 2/46</t>
  </si>
  <si>
    <t>Already performed in paper</t>
  </si>
  <si>
    <t>2DS1 carriers:
Controls: 104/247
Cases: 98/231
2DS1+HLAC2+: 
Controls: 19/104
Cases: 21/98
2DS1+HLAC2-:
Controls: 85/104
Cases: 77/98</t>
  </si>
  <si>
    <t>KIR2DS1 carriers:
Patients: 57/104
Controls: 70/172
KIR2DS1+HLAC2+:
Patients: 42/57
Controls: 44/70
KIR2DS1+HLAC2-:
Patients: 15/57
Controls: 26/70</t>
  </si>
  <si>
    <t>KIR2DS1 carriers:
Controls: 67/165
Patients: 57/131
KIR2DS1+HLAC2+:
Controls: 37/67
Patients: 22/57
KIR2DS1+HLAC2-:
Controls: 30/67
Patients: 35/57</t>
  </si>
  <si>
    <t>Study Title</t>
  </si>
  <si>
    <t xml:space="preserve">
Cases with KIR2DL1-HLA-C2 vs Controls with KIR2DL1-HLA-C2, 38.7% vs. 30.5%, p = 0.36, OR = 1.44, CI = 0.6 - 3.19</t>
  </si>
  <si>
    <t xml:space="preserve">
Cases with KIR2DL1-HLA-C2 vs Controls with KIR2DL1-HLA-C2, 57.4% vs 66.7%, p = 0.31, OR = 0.68, CI = 0.32 - 1.47</t>
  </si>
  <si>
    <t xml:space="preserve">
Cases with KIR2DS1-HLA-C2 vs Controls with KIR2DS1-HLA-C2, 55.6% vs 73.8%, p = 0.13, OR = 0.44, CI = 0.16-1.24</t>
  </si>
  <si>
    <t>Disease Outcome</t>
  </si>
  <si>
    <t>Year</t>
  </si>
  <si>
    <t>Cohort Details</t>
  </si>
  <si>
    <t xml:space="preserve"> OR: 2DL1+C2</t>
  </si>
  <si>
    <t xml:space="preserve"> OR: 2DS1+C2+ </t>
  </si>
  <si>
    <t xml:space="preserve"> OR: 2DS4+ </t>
  </si>
  <si>
    <t xml:space="preserve">OR: 2DL1+2DS1-C2+ </t>
  </si>
  <si>
    <t>Adjustment logic for background KIR variation</t>
  </si>
  <si>
    <t>200 patients: Mild (N = 93), Severe (N=107)</t>
  </si>
  <si>
    <t>Odds ratio &lt; 1 indicates a protective association against severe COVID-19 disease</t>
  </si>
  <si>
    <t xml:space="preserve">Mild cases vs severe cases, 39.8% vs 25.2%, p = 0.03, OR = 0.51, CI = 0.23-0.93 </t>
  </si>
  <si>
    <t>Mild cases vs severe cases, 24.7% vs 26.2 %, p = 0.94, OR = 0.98, CI = 0.51-1.86</t>
  </si>
  <si>
    <t>Mild cases vs severe cases, 62.4% vs 49.5%, p = 0.07, OR = 0.59, CI = 0.34-1.04</t>
  </si>
  <si>
    <t>Mild vs severe COVID-19 Cases</t>
  </si>
  <si>
    <t>Chikungunya Virus</t>
  </si>
  <si>
    <t>Dengue Virus</t>
  </si>
  <si>
    <t>Tuberculosis</t>
  </si>
  <si>
    <t>Kaposi Sarcoma-Associated Herpesvirus Infection</t>
  </si>
  <si>
    <t>Cytomegalovirus</t>
  </si>
  <si>
    <t>Chagas Disease</t>
  </si>
  <si>
    <t xml:space="preserve">Healthy controls vs Dengue infection </t>
  </si>
  <si>
    <t>Dengue infected vs healthy controls, 75% vs 87.5%, p = 0.62, OR = 0.43, CI = 0.02-8.16</t>
  </si>
  <si>
    <t>Odds ratio &lt; 1 indicates a protective association against Dengue infection</t>
  </si>
  <si>
    <t xml:space="preserve">2DL1+C2+ associated with significant protective effect against COVID-19 in absence of activating counterpart 2DS1
</t>
  </si>
  <si>
    <t>2DL1+C2+ significantly associated with protection against hepatitis C</t>
  </si>
  <si>
    <t>2DL1+C2+  significiantly associated with susceptibility to CHIKV infection</t>
  </si>
  <si>
    <t>Complicated vs uncomplicated, 34% vs 19%, p = 0.0175, OR = 2.10, CI = 1.15-3.83</t>
  </si>
  <si>
    <t>119 individuals with COVID 19 and 176 healthy control patients</t>
  </si>
  <si>
    <t xml:space="preserve">351 healthy controls and 408 confirmed pulmonary TB cases </t>
  </si>
  <si>
    <t>COVID-19 cases vs controls, 8.11% vs 7.95%, p = 0.93, OR = 1.02, CI = 0.43-2.45</t>
  </si>
  <si>
    <t>COVID-19 cases vs controls, 23.42% vs 31.25%,  p = 0.178, OR = 0.67, CI = 0.39-1.16</t>
  </si>
  <si>
    <t xml:space="preserve">COVID-19 patients vs controls </t>
  </si>
  <si>
    <t>200 individuals in control group and  32 patients with Covid-19 (16 severe cases and 16 moderate / mild cases)</t>
  </si>
  <si>
    <t xml:space="preserve">
Patients vs controls, 44.0% vs 65.6%, p = 0.023, OR = 2.4, CI = 1.1-5.3</t>
  </si>
  <si>
    <t>Patients vs controls, 37.5% vs 30.5%, p = 0.42, OR = 1.367, CI = 0.63-2.97</t>
  </si>
  <si>
    <t>Significant association between 2DS1+C2+ and both susceptibility to COVID-19 and severe cases of COVID-19</t>
  </si>
  <si>
    <t>COVID-19 patients (N=52) vs control group (N=87)
Mild cases (N=34) Severe cases (N=17)</t>
  </si>
  <si>
    <t>Control group vs COVID-19 group, 67% vs 52%, p = 0.081, OR = 0.54, CI = 0.27-1.08</t>
  </si>
  <si>
    <t>Control group vs COVID-19 group, 36% vs 29%, p = 0.41, OR = 0.73, CI = 0.34-1.55</t>
  </si>
  <si>
    <t>Control group vs COVID-19 group, 16% vs 37%, p = 0.008, OR = 3, CI = 1.34-6.7
Control group vs severe COVID-19 group, 16% vs 50%, p = 0.004, OR = 5.2, CI = 1.75-15.45</t>
  </si>
  <si>
    <t>Significant associations between 2DS4 and both susceptibility to COVID-19 and severe cases of COVID-19</t>
  </si>
  <si>
    <t>123 KSHV positve and 176 KSHV negative individuals</t>
  </si>
  <si>
    <t>KSHV positive vs KHSV negative, 60.98% vs 61.36%, p = 0.946, OR = 0.98, CI = 0.61-1.58</t>
  </si>
  <si>
    <t>KSHV positive vs KSHV negative, 53.66% vs 50%, p = 0.534, OR = 1.16, CI = 0.73-1.84</t>
  </si>
  <si>
    <t>HLA-C*01:02: positive vs negative, 16.26% vs 17.05%, p = 0.858, OR = 0.95, CI = 0.5-1.75
HLA-C*04:01: positive vs negative, 13.82% vs 11.36%, p = 0.526, OR = 1.25, CI = 0.62-2.5
HLA-C*05:01: positive vs negative, 3.25% vs 2.84%, p = 0.838, OR = 1.15, CI = 0.28-4.43
HLA-C*14:02: positive vs negative, 6.50% vs 5.68%, p = 0.769, OR = 1.15, CI = 0.43-3.02</t>
  </si>
  <si>
    <t xml:space="preserve">253 dengue patients and 235 healthy controls </t>
  </si>
  <si>
    <t>Dengue positive vs healthy controls, 30% vs 30.2%, OR = 0.99, CI = 0.67-1.46</t>
  </si>
  <si>
    <t xml:space="preserve">2DS4 significantly associated with increased risk of HBV
</t>
  </si>
  <si>
    <t>Controls vs HBV patients, 60.7% vs 74.2%, p = 0.02, OR = 1.86, CI = 1.25-2.75</t>
  </si>
  <si>
    <t>140 controls and 511 HBV patients</t>
  </si>
  <si>
    <t>Former plasma donor cohort infected with HIV-1 through an illegal plasma donor scheme who survived more than 10 years of infection without ART (SM cohort) vs healthy controls</t>
  </si>
  <si>
    <t>HCV positive vs HCV negative</t>
  </si>
  <si>
    <t>Significant protective association for 2DS4+</t>
  </si>
  <si>
    <t xml:space="preserve">Susceptibility to TB vs healthy controls </t>
  </si>
  <si>
    <t>Patients vs controls, 68.2% vs 68%, p = 1.00, OR = 1.01, CI = 0.56-1.83</t>
  </si>
  <si>
    <t>Significant association between spontaneous resolution of HCV and 2DL1+C2+</t>
  </si>
  <si>
    <t>Spontaneous clearance vs coinfection, 19.3% vs 10.4%, p = 0.1, OR = 2.06, CI = 0.85-4.94</t>
  </si>
  <si>
    <t>Spontaneous clearance controls vs patients with coinfection of HCV-HIV</t>
  </si>
  <si>
    <t xml:space="preserve">2DS4+C1+: Infected vs non infected, 58% vs 83%, p = 0.012, OR = 0.2, CI = 0.9-20.8
2DS4+C2+: Infected vs non infected, 92% vs 64%, p = 0.074, OR = 4.3, CI = 0.9-20.8 </t>
  </si>
  <si>
    <t>Infected vs non infected, 92% vs 64%, p = 0.078, OR = 4.2, CI = 0.9-20.6</t>
  </si>
  <si>
    <t>Acute HBV patients,  asymptomatic carriers, and chronic HBV patients</t>
  </si>
  <si>
    <t>Asymptomatic vs control, p = 0.03, OR = 0.41, CI = 0.17-0.98</t>
  </si>
  <si>
    <t>2DL1+C2+ significantly associated with being in the control population vs. the asymptomatic population</t>
  </si>
  <si>
    <t>KIIR-HLA Genotypes in HIV-Infected Patients Lacking
Immunological Recovery despite Effective Antiretroviral Therapy</t>
  </si>
  <si>
    <t>fKIR2DS4 - full length exon 5 variant of KIR2DS4 gene, in absence of a cognate ligand
Patients vs controls, 45.9% vs 54.1%, p = 0.004, OR = 0.81, CI = 0.70-0.94</t>
  </si>
  <si>
    <t>458 patients, 667 controls 
Severe patients (N = 54), mild / moderate patients (N = 404)</t>
  </si>
  <si>
    <t xml:space="preserve"> fKIR2DS4 gene significantly associated with protection from SARS-COV-2 infection </t>
  </si>
  <si>
    <t>Symptomatic vs non symptomatic, 68% vs 58%, p = 0.25, OR = 1.54</t>
  </si>
  <si>
    <t xml:space="preserve">COVID-19 patients vs healthy controls </t>
  </si>
  <si>
    <t>87 patients vs 114 healthy controls</t>
  </si>
  <si>
    <t>COVID-19 patients vs healthy controls, 80.5% vs 66.7%, p = 0.037, OR = 2.058, CI = 1.06-3.97</t>
  </si>
  <si>
    <t>COVID-19 patients vs healthy controls, 21.8% vs 25.4%, p = 0.86, OR = 1.10, CI = 0.55-2.19</t>
  </si>
  <si>
    <t>2DL1+C2+ significantly associated with carriage of COVID-19</t>
  </si>
  <si>
    <t>Immunological non responders vs full responders</t>
  </si>
  <si>
    <t>154 HIV infected and cART treated patients with undetectable viral load
Split into 2 groups: immunological non responders (INR N = 50) and full responders (FR N=104)</t>
  </si>
  <si>
    <t>INR vs FR, 36% vs 19.2%, p = 0.02, OR = 3.02, CI = 1.16-7.96</t>
  </si>
  <si>
    <t>2DS1+C2+ significantly associated with increased risk of being immunological non responder (i.e. not managing as well when having therapy)</t>
  </si>
  <si>
    <t>Controls vs chagas disease, 22.4% vs 16.8%, p = 0.255, OR = 0.70, CI = 0.39-1.25</t>
  </si>
  <si>
    <t>Controls vs chagas disease, 48.4% vs 43.5%, p = 0.428, OR = 0.82, CI = 0.52-1.30</t>
  </si>
  <si>
    <t>Controls vs chagas disease, 93.9% vs 94.7%, p = 0.814, OR = 1.14, CI = 0.42-3.09</t>
  </si>
  <si>
    <t>Adjustment made?</t>
  </si>
  <si>
    <t>Yes</t>
  </si>
  <si>
    <t>Notes relevant to functional allele classification for the Ache Population</t>
  </si>
  <si>
    <t>Mild cases with KIR2DL1-HLA-C2 vs severe cases with KIR2DL1-HLA-C2, 65.2% vs 53.0%, p = 0.09, OR = 0.60, CI = 0.33-1.09</t>
  </si>
  <si>
    <t>Mild cases with KIR2DS1-HLA-C2 vs severe cases with KIR2DS1-HLA-C2, 67.6% vs 54.9%, p = 0.24, OR = 0.58 CI = 0.23-1.46</t>
  </si>
  <si>
    <t>Complicated cases with KIR2DL1-HLA-C2 vs uncompliated cases with KIR2DL1-HLA-C2, 40.0% vs 29.8%, p = 0.16, OR = 1.57, CI = 0.83 - 2.96</t>
  </si>
  <si>
    <t>Complicated cases with KIR2DS1-HLA-C2 vs Uncomplicated cases with KIR2DS1-HLA-C2, 45.5% vs 61.1%, p = 0.051, OR = 0.53, CI = 0.28 - 1.01</t>
  </si>
  <si>
    <t>Still no significant associations for 2DL1+C2+ or 2DS1+C2+ with any disease outcome</t>
  </si>
  <si>
    <t>KIR2DL1+C2 is an advantage for protection against hepatitis C</t>
  </si>
  <si>
    <t>2DL1+ is negative for disease outcome, contrary to our hypothesis for the Ache</t>
  </si>
  <si>
    <t>Within the group of KIR2DL1 carriers, there is a non signifcant asociation between having the HLA-C2 ligand and developing complicated malaria. This is in contrast to the wider population investigation of 2DL1+C2+
Within the KIR2DS1 carriers, there is a non significant association between having the HLA-C2 ligand and developing complicated malaria</t>
  </si>
  <si>
    <t>When looking at disease outcomes in the subset of the study population with the KIR2DL1 gene, we see that the previously significant association between 2DL1+C2+ and complicated malaria in the wider population disappears</t>
  </si>
  <si>
    <t xml:space="preserve">
Cases with KIR2DS1-HLA-C2 vs Controls with KIR2DS1-HLA-C2, 50% vs 31.9%, p = 0.25, OR = 2.13, CI = 0.71 - 6.39
Severe cases with KIR2DS1-HLA-C2 vs Controls with KIR2DS1-HLA-C2, 71.4% vs 31.9%, p = 0.04, OR = 5.33, CI = 1.1-11.0</t>
  </si>
  <si>
    <t>Significant relationship between 2DS1+C2+ and susceptibility disappears, but significant relationship between 2DS1+C2+ and severe disease remains</t>
  </si>
  <si>
    <t>2DS1+C2+ is the worst genotype to have in this particular study for dealing with severe disease</t>
  </si>
  <si>
    <t>No significant relationships revealed</t>
  </si>
  <si>
    <t>2DS4 genotype is detrimental for dealing with disease (we are interested in scenarios where 2DS4 is an advantage for dealing with disease)</t>
  </si>
  <si>
    <t>Cases with KIR2DS1-HLA-C2 vs Controls with KIR2DS1-HLA-C2,  26.3% vs 28.8%, p = 0.76, OR = 0.88, CI = 0.45 - 1.72</t>
  </si>
  <si>
    <t>Cases with KIR2DL1-HLA-C2 vs Controls with KIR2DL1-HLA-C2, 30.8% vs 31.7%, p = 0.83, OR = 0.96, CI = 0.64 - 1.43</t>
  </si>
  <si>
    <t>2DS4 genotype is an advantage for dealing with disease</t>
  </si>
  <si>
    <t>Cases with KIR2DL1-HLA-C2 vs Controls with KIR2DL1-HLA-C2, 68.9% vs 71.6%, p = 0.70, OR = 0.88, CI = 0.46-1.68</t>
  </si>
  <si>
    <t>Cases with KIR2DS1-HLA-C2 vs Controls with KIR2DS1-HLA-C2, 95.7% vs 71.7%, p = 0.003, OR = 8.67, CI = 1.76 - 42.71</t>
  </si>
  <si>
    <t>Within the group of KIR2DS1 carriers, there is a signifcant association between having the HLA-C2 ligand and developing Tuberculosis
This is in comparison to the population wide analysis where there was no significant association revealed</t>
  </si>
  <si>
    <t>Still significant association between 2DL1+C2+ and spontaneous clearance of HCV</t>
  </si>
  <si>
    <t>2DL1+C2+ is beneficial to have for dealing with disease</t>
  </si>
  <si>
    <t>Cases vs controls, 11.5% vs 7.8%, p = 0.18, OR = 1.54, CI = 0.82 - 2.88</t>
  </si>
  <si>
    <t>Cases vs controls, 21.4% vs 18.3%, p = 0.58, OR = 1.22, CI = 0.61 - 2.45</t>
  </si>
  <si>
    <t>Patients vs controls, 75.7% vs 62.9%, p = 0.029, OR = 1.84, CI = 1.06-3.17</t>
  </si>
  <si>
    <t>Patients vs controls, 73.7% vs 62.9%, p = 0.2, OR = 1.65, CI = 0.76 - 3.60</t>
  </si>
  <si>
    <t>Significant positive relationship between 2DL1+C2+ and Dengue infection remains
Significant relationship between 2DS1+C2+ and Dengue infection is lost</t>
  </si>
  <si>
    <t>KIR2DS1+ is the worst genotype to have when looking at the population study, but this association is lost when looking specifically at the subset of KIR2DS1 carriers</t>
  </si>
  <si>
    <t>Patients vs controls, 62.4% vs 64.3%, p = 0.55, OR = 0.92, CI = 0.72 - 1.18</t>
  </si>
  <si>
    <t xml:space="preserve">Patients vs controls, 60.9% vs 65.9%, p = 0.28, OR = 0.81, CI = 0.54 - 1.20 </t>
  </si>
  <si>
    <t>Patients vs controls, 85.1% vs 75.2%, p = 0.089, OR = 1.87, CI = 0.88-3.97</t>
  </si>
  <si>
    <t>Patients vs controls, 79.2% vs 65.7%, p = 0.26, OR = 1.98, CI = 0.58 - 6.75</t>
  </si>
  <si>
    <t>Significant relationship between 2DL1+C2+ and susceptibility disappears</t>
  </si>
  <si>
    <t>Severe vs asymptomatic, 71.2% vs 77.2%, p = 0.17, OR = 0.73, CI = 0.46 - 1.14</t>
  </si>
  <si>
    <t>Severe vs asymptomatic, 85.2% vs 76.3%, p = 0.21, OR = 1.79, CI = 0.76 - 4.21</t>
  </si>
  <si>
    <t>Full responders vs non responders, 66.0% vs 63.8%, p = 0.86, OR = 0.91, CI = 0.44-1.88</t>
  </si>
  <si>
    <t>Full responders vs non responders, 54.1% vs 69.2%, p = 0.3, OR = 1.91, CI = 0.65 - 5.60</t>
  </si>
  <si>
    <t>Significant relationship between having 2DS1+C2+ and being an immunological non responder disappears</t>
  </si>
  <si>
    <t>2DS1+C2+ is the worst genotype to have in this particular study for being an immunological non responder. However, this relationship disappears whenever we control for KIR backgroudn variation.</t>
  </si>
  <si>
    <t>2DL1+ is negative for disease outcome, contrary to our hypothesis for the Ache. However, when controlling for KIR background variation this relationship disappears</t>
  </si>
  <si>
    <t>2DS1 is not beneficial for dealing with disease</t>
  </si>
  <si>
    <t>Significant positive relationship between 2DS1+C2+ and recovery disappears</t>
  </si>
  <si>
    <t>Controls vs recovered, 71.7% vs 71.4%, p = 0.97, OR = 0.98, CI = 0.38 - 2.56</t>
  </si>
  <si>
    <t>Controls vs recovered, 71.6% vs 76.9%, p = 0.48, OR = 1.32, CI = 0.60 - 2.91</t>
  </si>
  <si>
    <t>Small sample size</t>
  </si>
  <si>
    <t>The effect of KIR2DS1 antagonises/ cancels out the protective effect of KIR2DL1 in people with C2 in this study
The KIR2DS1+C2+ genotype is the worst genotype to have in this instance</t>
  </si>
  <si>
    <t>Odds ratios were calculated comparing disease outcomes by HLA-C2 presence versus absence (acting as an on / off switch) amongst the subset of individuals carrying KIR2DL1/KIR2DS1 genes, thereby controlling for background KIR gene-content variation in the wider study population</t>
  </si>
  <si>
    <t>Cases with KIR2DL1-HLA-C2 vs Controls with KIR2DL1-HLA-C2, 50.8% vs 51.2%, p = 0.93, OR = 0.98, CI = 0.70-1.38</t>
  </si>
  <si>
    <t xml:space="preserve">Cases with KIR2DS1-HLA-C2 vs Controls with KIR2DS1-HLA-C2, 58.2% vs 51.1%, p = 0.38, OR = 1.34, CI = 0.74 - 2.41 </t>
  </si>
  <si>
    <t>Controls vs patients, 49.4% vs 43.5%, p = 0.32, OR = 0.79, CI = 0.49-1.26</t>
  </si>
  <si>
    <t>Controls vs patients, 55.2% vs 38.6%, p = 0.08, OR = 0.51, CI = 0.24 - 1.08</t>
  </si>
  <si>
    <t>KIR background adjusted disease associations</t>
  </si>
  <si>
    <t>KIR background adjusted OR: 2DS1+C2+</t>
  </si>
  <si>
    <t>KIR background adjusted OR: 2DL1+C2+</t>
  </si>
  <si>
    <t xml:space="preserve">Further notes on study </t>
  </si>
  <si>
    <t>Disease associations</t>
  </si>
  <si>
    <t>OR interpretation</t>
  </si>
  <si>
    <t>Cohort details</t>
  </si>
  <si>
    <t>Disease outcome</t>
  </si>
  <si>
    <r>
      <t xml:space="preserve"> Raw Data to calculate KIR background adjusted OR for KIR2DL1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HLA-C2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 </t>
    </r>
  </si>
  <si>
    <r>
      <t xml:space="preserve"> Raw Data to calculate KIR background adjusted OR for KIR2DS1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HLA-C2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 </t>
    </r>
  </si>
  <si>
    <t>Total KIR2DL1 carriers: 
Complicated: 180/213
Uncomplicated: 57/87
2DL1 with C2: 
Complicated: 72/180
Uncomplicated: 17/57
2DL1 without C2: 
Complicated: 108/180 
Uncomplicated: 40/57</t>
  </si>
  <si>
    <t xml:space="preserve">KIR2DS1+C2+: 
Controls: 23/72
Cases: 8/16
KIR2DS1+C2-:
Controls: 49/72
Cases: 8/16
Severe cases vs controls:
KIR2DS1+C2+:
Controls: 23/72
Severe cases: 5/7
KIR2DS1+C2-:
Controls: 49/72
Cases: 2/7
</t>
  </si>
  <si>
    <t>KIR2DL1+C2+:
Controls 61/200
Cases: 12/31
KIR2DL1+C2-:
Controls: 139/200
Cases: 19/31</t>
  </si>
  <si>
    <t>Total 2DL1 carriers:
Controls: 87/87
Cases: 47/52
2DL1+HLAC2+: 
Controls: 58/87
Cases: 27/47
2DL1+HLAC2-:
Controls: 29/87
Cases: 20/47</t>
  </si>
  <si>
    <t>2DL1 carriers:
Controls: 224/235
Cases: 247/253
2DL1+HLA-C2+:
Controls: 71/224
Cases: 76/247
2DL1+HLA-C2-:
Controls: 153/224
Cases: 171/247</t>
  </si>
  <si>
    <t>2DL1 carriers: 
Patients: 258/261
Controls: 252/252
2DL1+HLAC2+:
Patients: 131/258
Controls: 129/252
2DL1+HLAC2-:
Patients: 127/258
Controls: 123/252</t>
  </si>
  <si>
    <t>2DL1 carriers:
Controls: 95/100
Cases: 106/107
2DL1+HLAC2+:
Controls: 68/95
Cases: 73/106
2DL1+HLAC2-:
Controls: 27/95
Cases: 33/106</t>
  </si>
  <si>
    <t>2DL1+-HLAC2+: 
Spontaneous clearance: 16/57
Coinfected: 17/134
2DL1+HLAC2-:
Spontaenous clearance: 41/57
Coinfected: 108/134</t>
  </si>
  <si>
    <t xml:space="preserve">2DL1 carriers:
Controls: 245/247
Cases: 227/231
2DL1+HLAC2+:
Controls: 19/245
Cases: 26/227
2DL1+HLAC2-:
Controls: 226/245
Cases: 201/245
</t>
  </si>
  <si>
    <t>Link</t>
  </si>
  <si>
    <t>KIR2DL1 carriers:
Controls: 95/100
Recovered: 52/52
KIR2DL1+HLAC2+:
Controls: 68/95
Recovered: 40/52
KIR2DL1+HLAC2-:
Controls: 27/95
Revoered: 12/52</t>
  </si>
  <si>
    <t>KIR2DS1 carriers:
Controls: 46/100
Recovered: 42/52
KIR2DS1+HLAC2+:
Controls: 33/46
Recovered: 30/42
KIR2DS1+HLAC2-:
Controls: 13/46
Recovered: 12/42</t>
  </si>
  <si>
    <t>KIR2DL1 carriers:
Controls: 162/165
Chagas disease: 131/131
KIR2DL1+HLAC2+:
Control: 80/162
Chagas disease: 57/131
KIR2DL1+HLAC2-:
Control: 82/162
Chagas disease: 74/131</t>
  </si>
  <si>
    <t>KIR2DS1 carriers:
INR: 26/50
FR: 37/104
KIR2DS1+HLAC2+:
INR: 18/26
FR: 20/37
KIR2DS1+HLAC2-:
INR: 8/26
FR: 17/37</t>
  </si>
  <si>
    <t xml:space="preserve">KIR2DL1 carriers:
INR: 47/50
FR: 100/104
KIR2DL1+HLAC2+:
INR: 30/47
FR: 66/100
KIR2DL1+HLAC2-:
INR: 17/47
FR: 34/100
</t>
  </si>
  <si>
    <t>KIR2DL1 carriers:
Asymptomatic: 237/240
Severe: 156/156
KIR2DL1+HLAC2+:
Asymptomatic: 183/237
Severe: 111/156
KIR2DL1+HLAC2-:
Asymptomatic: 54/237
Severe: 45/156</t>
  </si>
  <si>
    <t>KIR2DS1 carriers:
Asymptomatic: 114/240
Severe: 61/156
KIR2DS1+HLAC2+:
Asymptomatic: 87/114
Severe: 52/61
KIR2DS1+HLAC2-:
Asymptomatic: 27/114
Severe: 9/61</t>
  </si>
  <si>
    <t>KIR2DS1 carriers:
COVID19: 24/87
Controls: 35/114
2DS1+HLAC2+:
COVID19: 19/24
Controls: 23/114
2DS1+HLAC2-:
COVID19: 5/24
Controls: 91/114</t>
  </si>
  <si>
    <t>KIR2DL1 carriers:
COVID-19: 87/87
Controls: 101/114
2DL1+HLAC2+:
COVID19: 74/87
Controls: 76/101
2DL1+HLAC2-:
COVID19: 13/87
Controls: 25/101</t>
  </si>
  <si>
    <t>KIR2DL1 carriers:
Controls: 645/667
Cases: 439/458
KIR2DL1+HLAC2+:
Controls: 415/645
Patients: 274/439
KIR2DL1+HLAC2-:
Controls: 230/645
Patients: 165/439</t>
  </si>
  <si>
    <t>KIR2DS1 carriers:
Controls: 246/667
Patients: 184/458
KIR2DS1+HLAC2+:
Controls: 162/246
Patients: 112/184
KIR2DS1+HLAC2-:
Controls: 84/246
Patients: 72/184</t>
  </si>
  <si>
    <t>KIR2DL1 carriers:
Patients 103/104
Controls 170/172
KIR2DL1+ HLA C2+:
Patients: 78/103
Controls: 107/170
KIR2DL1+HLAC2-:
Patients: 25/103
Controls: 53/170</t>
  </si>
  <si>
    <t>Total 2DS1 carriers:
Mild: 34/93
Severe: 51/107
2DS1 with C2:
 Mild: 23/34
Severe: 28/51
2DS1 without C2: 
Mild: 11/34
Severe: 23/51</t>
  </si>
  <si>
    <t>Total 2DL1 carriers: 
Mild: 89/93
Severe: 100/107
2DL1 with C2: 
Mild: 58/89 
Severe: 53/100
2DL1 without C2 : 
Mild: 31/89
Severe: 47/100</t>
  </si>
  <si>
    <t>Controls vs patients 11.5% vs 25.0%, p=0.037, OR=2.6, CI = 1.03–6.4
Controls vs Severe Cases, 11.5% vs 31.3%, p = 0.040, OR = 3.5, CI = 1.1–11.0</t>
  </si>
  <si>
    <t>2DL1+C2+ and 2DS1+ both significantly associated with Dengue infection</t>
  </si>
  <si>
    <t>15 acute HBV, 43 asymptomatic carriers, 27 chronic HBV, 128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</si>
</sst>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DC7688-B513-485A-B26A-4E013C4A88A9}" name="Table3" displayName="Table3" ref="A2:S30" totalsRowShown="0" headerRowDxfId="29" dataDxfId="28">
  <autoFilter ref="A2:S30" xr:uid="{8ADC7688-B513-485A-B26A-4E013C4A88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38AE243B-3415-4D97-881B-86764F22EB5B}" name="Disease" dataDxfId="27"/>
    <tableColumn id="2" xr3:uid="{0D8B1F59-7EC2-4F36-A3E8-62F217C43125}" name="Study Title" dataDxfId="26"/>
    <tableColumn id="3" xr3:uid="{6DE40D35-3481-40C3-B088-0DADE6765E0F}" name="Year" dataDxfId="25"/>
    <tableColumn id="4" xr3:uid="{E4E3D981-BEC7-48C6-92EF-27E88D5BC0E8}" name="Source" dataDxfId="24" dataCellStyle="Hyperlink"/>
    <tableColumn id="5" xr3:uid="{ECAA91C7-8705-495F-A7E7-78D5D52BDAFE}" name="Disease outcome" dataDxfId="23"/>
    <tableColumn id="6" xr3:uid="{E73AD25F-D1FB-44D8-A9FD-375F6FE41769}" name="Cohort details" dataDxfId="22"/>
    <tableColumn id="7" xr3:uid="{90C59AFB-AF31-4BB4-8487-EB850FF6DCC8}" name=" OR: 2DL1+C2" dataDxfId="21"/>
    <tableColumn id="8" xr3:uid="{D54B0FCB-CC63-4F66-8A5C-0A45579B145B}" name=" OR: 2DS1+C2+ " dataDxfId="20"/>
    <tableColumn id="9" xr3:uid="{6DCC0638-6026-4A79-A7A0-32B5C9F7277D}" name=" OR: 2DS4+ " dataDxfId="19"/>
    <tableColumn id="10" xr3:uid="{44D03697-D26A-4DFD-878B-3F68C4CC13AB}" name="OR: 2DL1+2DS1-C2+ " dataDxfId="18"/>
    <tableColumn id="11" xr3:uid="{9B940827-AD55-4A60-A84B-0FB9C9CA8DE7}" name="OR interpretation" dataDxfId="17"/>
    <tableColumn id="12" xr3:uid="{6566BF41-A212-4EBB-8E96-9E6230C5D05E}" name="Disease associations" dataDxfId="16"/>
    <tableColumn id="13" xr3:uid="{770A25E5-10D6-4E3B-B8CF-E48EC65B6C87}" name="Further notes on study " dataDxfId="15"/>
    <tableColumn id="14" xr3:uid="{2A2EDE38-E1C2-4C78-92BA-4F06B9DA0063}" name="Adjustment logic for background KIR variation" dataDxfId="14"/>
    <tableColumn id="15" xr3:uid="{AB5BCE6E-6DDD-49CB-8AC8-42638DFCCACB}" name="Adjustment made?" dataDxfId="13"/>
    <tableColumn id="16" xr3:uid="{D51EAE1B-9C05-42BF-A866-AFE7DA7C696E}" name="KIR background adjusted OR: 2DL1+C2+" dataDxfId="12"/>
    <tableColumn id="17" xr3:uid="{523851A2-FC0E-4A4F-8098-7B8311F952C4}" name="KIR background adjusted OR: 2DS1+C2+" dataDxfId="11"/>
    <tableColumn id="18" xr3:uid="{BEE9EA71-FCB5-454B-B180-1F997038F3E1}" name="KIR background adjusted disease associations" dataDxfId="10"/>
    <tableColumn id="19" xr3:uid="{D1E5286D-2E89-4FC2-82AB-1B36EAEA1F05}" name="Notes relevant to functional allele classification for the Ache Population" dataDxfId="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8C2C7E-BFC4-459C-8508-C008C320453E}" name="Table4" displayName="Table4" ref="A2:H30" totalsRowShown="0" tableBorderDxfId="8">
  <autoFilter ref="A2:H30" xr:uid="{CE8C2C7E-BFC4-459C-8508-C008C32045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91DD1B-DE38-47F5-B680-87E7C920E8A8}" name="Disease" dataDxfId="7"/>
    <tableColumn id="2" xr3:uid="{742BF2AC-B7A1-471A-806C-C74A74A76DE2}" name="Study Title" dataDxfId="6"/>
    <tableColumn id="3" xr3:uid="{F9BE5B23-038D-4F8C-AB1C-15A3AE375E8A}" name="Date" dataDxfId="5"/>
    <tableColumn id="4" xr3:uid="{BD0C48FD-8549-4F32-AA26-09493FE6DAB7}" name="Source" dataDxfId="4" dataCellStyle="Hyperlink"/>
    <tableColumn id="5" xr3:uid="{47F22F14-6A5A-47DB-8474-D5CF92F339D6}" name="Disease Outcome" dataDxfId="3"/>
    <tableColumn id="6" xr3:uid="{78B0CD1B-C069-4C05-8830-76277076F9F6}" name="Cohort Details" dataDxfId="2"/>
    <tableColumn id="7" xr3:uid="{3727130A-4A73-4F27-8070-78805FD947FA}" name=" Raw Data to calculate KIR background adjusted OR for KIR2DL1+ HLA-C2+  " dataDxfId="1"/>
    <tableColumn id="8" xr3:uid="{8C620ED8-C0CA-415B-8F09-658C7EC96406}" name=" Raw Data to calculate KIR background adjusted OR for KIR2DS1+ HLA-C2+  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FA3E-CC0B-40BF-98A4-5D485A5F8AD9}">
  <dimension ref="A1:X96"/>
  <sheetViews>
    <sheetView tabSelected="1" zoomScale="46" workbookViewId="0">
      <selection activeCell="D3" sqref="D3"/>
    </sheetView>
  </sheetViews>
  <sheetFormatPr defaultRowHeight="14.25" x14ac:dyDescent="0.45"/>
  <cols>
    <col min="1" max="1" width="17.59765625" bestFit="1" customWidth="1"/>
    <col min="2" max="2" width="45.86328125" bestFit="1" customWidth="1"/>
    <col min="3" max="3" width="9.9296875" customWidth="1"/>
    <col min="4" max="4" width="12.53125" customWidth="1"/>
    <col min="5" max="5" width="25.59765625" bestFit="1" customWidth="1"/>
    <col min="6" max="6" width="23.3984375" bestFit="1" customWidth="1"/>
    <col min="7" max="7" width="32.265625" bestFit="1" customWidth="1"/>
    <col min="8" max="8" width="31.86328125" bestFit="1" customWidth="1"/>
    <col min="9" max="9" width="28.9296875" bestFit="1" customWidth="1"/>
    <col min="10" max="10" width="27.59765625" bestFit="1" customWidth="1"/>
    <col min="11" max="11" width="30.53125" bestFit="1" customWidth="1"/>
    <col min="12" max="12" width="34.9296875" bestFit="1" customWidth="1"/>
    <col min="13" max="13" width="23.86328125" bestFit="1" customWidth="1"/>
    <col min="14" max="14" width="40.46484375" customWidth="1"/>
    <col min="15" max="15" width="37.3984375" bestFit="1" customWidth="1"/>
    <col min="16" max="16" width="34.6640625" customWidth="1"/>
    <col min="17" max="17" width="43.86328125" bestFit="1" customWidth="1"/>
    <col min="18" max="18" width="42.265625" customWidth="1"/>
    <col min="19" max="19" width="59.9296875" customWidth="1"/>
    <col min="20" max="20" width="41.19921875" bestFit="1" customWidth="1"/>
  </cols>
  <sheetData>
    <row r="1" spans="1:22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2"/>
      <c r="P1" s="2"/>
      <c r="Q1" s="2"/>
    </row>
    <row r="2" spans="1:22" ht="28.5" x14ac:dyDescent="0.45">
      <c r="A2" s="7" t="s">
        <v>115</v>
      </c>
      <c r="B2" s="7" t="s">
        <v>133</v>
      </c>
      <c r="C2" s="8" t="s">
        <v>138</v>
      </c>
      <c r="D2" s="8" t="s">
        <v>0</v>
      </c>
      <c r="E2" s="8" t="s">
        <v>278</v>
      </c>
      <c r="F2" s="7" t="s">
        <v>277</v>
      </c>
      <c r="G2" s="8" t="s">
        <v>140</v>
      </c>
      <c r="H2" s="8" t="s">
        <v>141</v>
      </c>
      <c r="I2" s="8" t="s">
        <v>142</v>
      </c>
      <c r="J2" s="8" t="s">
        <v>143</v>
      </c>
      <c r="K2" s="8" t="s">
        <v>276</v>
      </c>
      <c r="L2" s="8" t="s">
        <v>275</v>
      </c>
      <c r="M2" s="8" t="s">
        <v>274</v>
      </c>
      <c r="N2" s="8" t="s">
        <v>144</v>
      </c>
      <c r="O2" s="8" t="s">
        <v>217</v>
      </c>
      <c r="P2" s="8" t="s">
        <v>273</v>
      </c>
      <c r="Q2" s="8" t="s">
        <v>272</v>
      </c>
      <c r="R2" s="8" t="s">
        <v>271</v>
      </c>
      <c r="S2" s="8" t="s">
        <v>219</v>
      </c>
    </row>
    <row r="3" spans="1:22" ht="118.15" customHeight="1" x14ac:dyDescent="0.45">
      <c r="A3" s="2" t="s">
        <v>118</v>
      </c>
      <c r="B3" s="1" t="s">
        <v>2</v>
      </c>
      <c r="C3" s="2">
        <v>2022</v>
      </c>
      <c r="D3" s="6" t="str">
        <f>HYPERLINK("https://www.frontiersin.org/journals/genetics/articles/10.3389/fgene.2022.845474/full", "Link")</f>
        <v>Link</v>
      </c>
      <c r="E3" s="1" t="s">
        <v>150</v>
      </c>
      <c r="F3" s="1" t="s">
        <v>145</v>
      </c>
      <c r="G3" s="1" t="s">
        <v>149</v>
      </c>
      <c r="H3" s="1" t="s">
        <v>148</v>
      </c>
      <c r="I3" s="2" t="s">
        <v>3</v>
      </c>
      <c r="J3" s="1" t="s">
        <v>147</v>
      </c>
      <c r="K3" s="1" t="s">
        <v>146</v>
      </c>
      <c r="L3" s="1" t="s">
        <v>160</v>
      </c>
      <c r="N3" s="1" t="s">
        <v>266</v>
      </c>
      <c r="O3" s="2" t="s">
        <v>218</v>
      </c>
      <c r="P3" s="1" t="s">
        <v>220</v>
      </c>
      <c r="Q3" s="1" t="s">
        <v>221</v>
      </c>
      <c r="R3" s="1" t="s">
        <v>224</v>
      </c>
      <c r="S3" s="1" t="s">
        <v>265</v>
      </c>
      <c r="V3" s="4"/>
    </row>
    <row r="4" spans="1:22" ht="42.75" x14ac:dyDescent="0.45">
      <c r="A4" s="2" t="s">
        <v>120</v>
      </c>
      <c r="B4" s="1" t="s">
        <v>5</v>
      </c>
      <c r="C4" s="2">
        <v>2018</v>
      </c>
      <c r="D4" s="6" t="str">
        <f>HYPERLINK("https://pmc.ncbi.nlm.nih.gov/articles/PMC5929415/", "Link")</f>
        <v>Link</v>
      </c>
      <c r="E4" s="1" t="s">
        <v>4</v>
      </c>
      <c r="F4" s="1" t="s">
        <v>6</v>
      </c>
      <c r="G4" s="1" t="s">
        <v>13</v>
      </c>
      <c r="H4" s="1" t="s">
        <v>7</v>
      </c>
      <c r="I4" s="2" t="s">
        <v>3</v>
      </c>
      <c r="J4" s="2" t="s">
        <v>3</v>
      </c>
      <c r="K4" s="1" t="s">
        <v>8</v>
      </c>
      <c r="L4" s="1" t="s">
        <v>161</v>
      </c>
      <c r="N4" s="1"/>
      <c r="O4" s="1" t="s">
        <v>122</v>
      </c>
      <c r="P4" s="1" t="s">
        <v>122</v>
      </c>
      <c r="Q4" s="1" t="s">
        <v>122</v>
      </c>
      <c r="R4" s="1" t="s">
        <v>122</v>
      </c>
      <c r="S4" s="1" t="s">
        <v>225</v>
      </c>
      <c r="V4" s="4"/>
    </row>
    <row r="5" spans="1:22" ht="128.25" x14ac:dyDescent="0.45">
      <c r="A5" s="2" t="s">
        <v>116</v>
      </c>
      <c r="B5" s="1" t="s">
        <v>18</v>
      </c>
      <c r="C5" s="2">
        <v>2018</v>
      </c>
      <c r="D5" s="6" t="str">
        <f>HYPERLINK("https://pubmed.ncbi.nlm.nih.gov/29111138/", "Link")</f>
        <v>Link</v>
      </c>
      <c r="E5" s="1" t="s">
        <v>19</v>
      </c>
      <c r="F5" s="1" t="s">
        <v>20</v>
      </c>
      <c r="G5" s="1" t="s">
        <v>163</v>
      </c>
      <c r="H5" s="2" t="s">
        <v>3</v>
      </c>
      <c r="I5" s="2" t="s">
        <v>3</v>
      </c>
      <c r="J5" s="2" t="s">
        <v>3</v>
      </c>
      <c r="K5" s="1" t="s">
        <v>21</v>
      </c>
      <c r="L5" s="1" t="s">
        <v>22</v>
      </c>
      <c r="N5" s="1"/>
      <c r="O5" s="2" t="s">
        <v>218</v>
      </c>
      <c r="P5" s="1" t="s">
        <v>222</v>
      </c>
      <c r="Q5" s="1" t="s">
        <v>223</v>
      </c>
      <c r="R5" s="1" t="s">
        <v>227</v>
      </c>
      <c r="S5" s="1" t="s">
        <v>228</v>
      </c>
      <c r="V5" s="4"/>
    </row>
    <row r="6" spans="1:22" ht="128.25" x14ac:dyDescent="0.45">
      <c r="A6" s="2" t="s">
        <v>118</v>
      </c>
      <c r="B6" s="1" t="s">
        <v>29</v>
      </c>
      <c r="C6" s="2">
        <v>2024</v>
      </c>
      <c r="D6" s="6" t="str">
        <f>HYPERLINK("https://pmc.ncbi.nlm.nih.gov/articles/PMC10779705/", "Link")</f>
        <v>Link</v>
      </c>
      <c r="E6" s="1" t="s">
        <v>168</v>
      </c>
      <c r="F6" s="1" t="s">
        <v>169</v>
      </c>
      <c r="G6" s="1" t="s">
        <v>171</v>
      </c>
      <c r="H6" s="1" t="s">
        <v>305</v>
      </c>
      <c r="I6" s="1" t="s">
        <v>170</v>
      </c>
      <c r="J6" s="2" t="s">
        <v>3</v>
      </c>
      <c r="K6" s="1" t="s">
        <v>30</v>
      </c>
      <c r="L6" s="1" t="s">
        <v>172</v>
      </c>
      <c r="M6" s="1" t="s">
        <v>264</v>
      </c>
      <c r="N6" s="1"/>
      <c r="O6" s="2" t="s">
        <v>218</v>
      </c>
      <c r="P6" s="1" t="s">
        <v>134</v>
      </c>
      <c r="Q6" s="1" t="s">
        <v>229</v>
      </c>
      <c r="R6" s="1" t="s">
        <v>230</v>
      </c>
      <c r="S6" s="1" t="s">
        <v>231</v>
      </c>
      <c r="V6" s="4"/>
    </row>
    <row r="7" spans="1:22" ht="71.25" x14ac:dyDescent="0.45">
      <c r="A7" s="2" t="s">
        <v>120</v>
      </c>
      <c r="B7" s="1" t="s">
        <v>47</v>
      </c>
      <c r="C7" s="2">
        <v>2009</v>
      </c>
      <c r="D7" s="6" t="str">
        <f>HYPERLINK("https://pubmed.ncbi.nlm.nih.gov/19552960/", "Link")</f>
        <v>Link</v>
      </c>
      <c r="E7" s="1" t="s">
        <v>188</v>
      </c>
      <c r="F7" s="1" t="s">
        <v>48</v>
      </c>
      <c r="G7" s="2" t="s">
        <v>3</v>
      </c>
      <c r="H7" s="2" t="s">
        <v>3</v>
      </c>
      <c r="I7" s="1" t="s">
        <v>49</v>
      </c>
      <c r="J7" s="2" t="s">
        <v>3</v>
      </c>
      <c r="K7" s="1" t="s">
        <v>50</v>
      </c>
      <c r="L7" s="1" t="s">
        <v>189</v>
      </c>
      <c r="M7" s="1"/>
      <c r="N7" s="1"/>
      <c r="O7" s="1" t="s">
        <v>122</v>
      </c>
      <c r="P7" s="1" t="s">
        <v>122</v>
      </c>
      <c r="Q7" s="1" t="s">
        <v>122</v>
      </c>
      <c r="R7" s="1" t="s">
        <v>122</v>
      </c>
      <c r="S7" s="1" t="s">
        <v>236</v>
      </c>
      <c r="V7" s="4"/>
    </row>
    <row r="8" spans="1:22" ht="99.75" x14ac:dyDescent="0.45">
      <c r="A8" s="2" t="s">
        <v>153</v>
      </c>
      <c r="B8" s="1" t="s">
        <v>51</v>
      </c>
      <c r="C8" s="2">
        <v>2012</v>
      </c>
      <c r="D8" s="6" t="str">
        <f>HYPERLINK("https://pubmed.ncbi.nlm.nih.gov/22128749/", "Link")</f>
        <v>Link</v>
      </c>
      <c r="E8" s="1" t="s">
        <v>190</v>
      </c>
      <c r="F8" s="1" t="s">
        <v>52</v>
      </c>
      <c r="G8" s="1" t="s">
        <v>191</v>
      </c>
      <c r="H8" s="1" t="s">
        <v>53</v>
      </c>
      <c r="I8" s="2" t="s">
        <v>3</v>
      </c>
      <c r="J8" s="2" t="s">
        <v>3</v>
      </c>
      <c r="K8" s="1" t="s">
        <v>54</v>
      </c>
      <c r="L8" s="1" t="s">
        <v>72</v>
      </c>
      <c r="N8" s="1"/>
      <c r="O8" s="2" t="s">
        <v>218</v>
      </c>
      <c r="P8" s="1" t="s">
        <v>237</v>
      </c>
      <c r="Q8" s="1" t="s">
        <v>238</v>
      </c>
      <c r="R8" s="1" t="s">
        <v>239</v>
      </c>
      <c r="S8" s="1" t="s">
        <v>231</v>
      </c>
      <c r="V8" s="4"/>
    </row>
    <row r="9" spans="1:22" ht="42.75" x14ac:dyDescent="0.45">
      <c r="A9" s="2" t="s">
        <v>120</v>
      </c>
      <c r="B9" s="1" t="s">
        <v>61</v>
      </c>
      <c r="C9" s="2">
        <v>2021</v>
      </c>
      <c r="D9" s="6" t="str">
        <f>HYPERLINK("https://pmc.ncbi.nlm.nih.gov/articles/PMC7944354/", "Link")</f>
        <v>Link</v>
      </c>
      <c r="E9" s="1" t="s">
        <v>194</v>
      </c>
      <c r="F9" s="1" t="s">
        <v>62</v>
      </c>
      <c r="G9" s="1" t="s">
        <v>63</v>
      </c>
      <c r="H9" s="1" t="s">
        <v>193</v>
      </c>
      <c r="I9" s="2" t="s">
        <v>3</v>
      </c>
      <c r="J9" s="2" t="s">
        <v>3</v>
      </c>
      <c r="K9" s="1" t="s">
        <v>65</v>
      </c>
      <c r="L9" s="1" t="s">
        <v>192</v>
      </c>
      <c r="N9" s="1"/>
      <c r="O9" s="2" t="s">
        <v>218</v>
      </c>
      <c r="P9" s="1" t="s">
        <v>63</v>
      </c>
      <c r="Q9" s="1" t="s">
        <v>64</v>
      </c>
      <c r="R9" s="1" t="s">
        <v>240</v>
      </c>
      <c r="S9" s="1" t="s">
        <v>241</v>
      </c>
      <c r="V9" s="4"/>
    </row>
    <row r="10" spans="1:22" ht="42.75" x14ac:dyDescent="0.45">
      <c r="A10" s="2" t="s">
        <v>119</v>
      </c>
      <c r="B10" s="1" t="s">
        <v>77</v>
      </c>
      <c r="C10" s="2">
        <v>2016</v>
      </c>
      <c r="D10" s="6" t="str">
        <f>HYPERLINK("https://link.springer.com/article/10.1007/s12041-015-0594-x","Link")</f>
        <v>Link</v>
      </c>
      <c r="E10" s="1" t="s">
        <v>197</v>
      </c>
      <c r="F10" s="1" t="s">
        <v>307</v>
      </c>
      <c r="G10" s="1" t="s">
        <v>198</v>
      </c>
      <c r="H10" s="2" t="s">
        <v>3</v>
      </c>
      <c r="I10" s="2" t="s">
        <v>3</v>
      </c>
      <c r="J10" s="2" t="s">
        <v>3</v>
      </c>
      <c r="K10" s="1" t="s">
        <v>79</v>
      </c>
      <c r="L10" s="1" t="s">
        <v>199</v>
      </c>
      <c r="M10" s="1"/>
      <c r="N10" s="1"/>
      <c r="O10" s="1" t="s">
        <v>122</v>
      </c>
      <c r="P10" s="1" t="s">
        <v>122</v>
      </c>
      <c r="Q10" s="1" t="s">
        <v>122</v>
      </c>
      <c r="R10" s="1" t="s">
        <v>122</v>
      </c>
      <c r="S10" s="1" t="s">
        <v>241</v>
      </c>
      <c r="V10" s="4"/>
    </row>
    <row r="11" spans="1:22" ht="71.25" x14ac:dyDescent="0.45">
      <c r="A11" s="2" t="s">
        <v>152</v>
      </c>
      <c r="B11" s="1" t="s">
        <v>80</v>
      </c>
      <c r="C11" s="2">
        <v>2013</v>
      </c>
      <c r="D11" s="6" t="str">
        <f>HYPERLINK("https://onlinelibrary.wiley.com/doi/full/10.1111/tan.12256?casa_token=NSg1SK95i58AAAAA%3AuExz5oZJ0CenRUfI5TepvXtIZuYKRJlxbSVDFTw8ApfJMTFp5I4uXvodyBK2nnd66V2iGjCk0OAHcA","Link")</f>
        <v>Link</v>
      </c>
      <c r="E11" s="1" t="s">
        <v>36</v>
      </c>
      <c r="F11" s="1" t="s">
        <v>81</v>
      </c>
      <c r="G11" s="1" t="s">
        <v>82</v>
      </c>
      <c r="H11" s="1" t="s">
        <v>83</v>
      </c>
      <c r="I11" s="2" t="s">
        <v>3</v>
      </c>
      <c r="J11" s="2" t="s">
        <v>3</v>
      </c>
      <c r="K11" s="1" t="s">
        <v>84</v>
      </c>
      <c r="L11" s="1" t="s">
        <v>306</v>
      </c>
      <c r="M11" s="1"/>
      <c r="N11" s="1"/>
      <c r="O11" s="2" t="s">
        <v>218</v>
      </c>
      <c r="P11" s="1" t="s">
        <v>244</v>
      </c>
      <c r="Q11" s="1" t="s">
        <v>245</v>
      </c>
      <c r="R11" s="1" t="s">
        <v>246</v>
      </c>
      <c r="S11" s="1" t="s">
        <v>247</v>
      </c>
      <c r="V11" s="4"/>
    </row>
    <row r="12" spans="1:22" ht="99.75" x14ac:dyDescent="0.45">
      <c r="A12" s="2" t="s">
        <v>118</v>
      </c>
      <c r="B12" s="1" t="s">
        <v>85</v>
      </c>
      <c r="C12" s="2">
        <v>2024</v>
      </c>
      <c r="D12" s="6" t="str">
        <f>HYPERLINK("https://onlinelibrary.wiley.com/doi/full/10.1111/tan.15640?casa_token=uNm8FIutvggAAAAA%3AQPDjRyJ2gHd0qf-wpiHmlA4bKZpOUROtOWnyuRxHt7B8yyPZPFaEPjdMfROUlVwreuhVz30JPrW5Ew","Link")</f>
        <v>Link</v>
      </c>
      <c r="E12" s="1" t="s">
        <v>168</v>
      </c>
      <c r="F12" s="1" t="s">
        <v>202</v>
      </c>
      <c r="G12" s="1" t="s">
        <v>86</v>
      </c>
      <c r="H12" s="1" t="s">
        <v>87</v>
      </c>
      <c r="I12" s="1" t="s">
        <v>201</v>
      </c>
      <c r="J12" s="2" t="s">
        <v>3</v>
      </c>
      <c r="K12" s="1" t="s">
        <v>88</v>
      </c>
      <c r="L12" s="1" t="s">
        <v>203</v>
      </c>
      <c r="N12" s="1"/>
      <c r="O12" s="2" t="s">
        <v>218</v>
      </c>
      <c r="P12" s="1" t="s">
        <v>248</v>
      </c>
      <c r="Q12" s="1" t="s">
        <v>249</v>
      </c>
      <c r="R12" s="2" t="s">
        <v>232</v>
      </c>
      <c r="S12" s="1" t="s">
        <v>236</v>
      </c>
      <c r="V12" s="4"/>
    </row>
    <row r="13" spans="1:22" ht="114" x14ac:dyDescent="0.45">
      <c r="A13" s="2" t="s">
        <v>121</v>
      </c>
      <c r="B13" s="1" t="s">
        <v>200</v>
      </c>
      <c r="C13" s="2">
        <v>2011</v>
      </c>
      <c r="D13" s="6" t="str">
        <f>HYPERLINK("https://journals.plos.org/plosone/article?id=10.1371/journal.pone.0027349","Link")</f>
        <v>Link</v>
      </c>
      <c r="E13" s="1" t="s">
        <v>210</v>
      </c>
      <c r="F13" s="1" t="s">
        <v>211</v>
      </c>
      <c r="G13" s="1" t="s">
        <v>102</v>
      </c>
      <c r="H13" s="1" t="s">
        <v>212</v>
      </c>
      <c r="I13" s="2" t="s">
        <v>3</v>
      </c>
      <c r="J13" s="2" t="s">
        <v>3</v>
      </c>
      <c r="K13" s="1" t="s">
        <v>103</v>
      </c>
      <c r="L13" s="1" t="s">
        <v>213</v>
      </c>
      <c r="N13" s="1"/>
      <c r="O13" s="2" t="s">
        <v>218</v>
      </c>
      <c r="P13" s="1" t="s">
        <v>255</v>
      </c>
      <c r="Q13" s="1" t="s">
        <v>256</v>
      </c>
      <c r="R13" s="1" t="s">
        <v>257</v>
      </c>
      <c r="S13" s="1" t="s">
        <v>258</v>
      </c>
      <c r="V13" s="4"/>
    </row>
    <row r="14" spans="1:22" ht="42.75" x14ac:dyDescent="0.45">
      <c r="A14" s="1" t="s">
        <v>151</v>
      </c>
      <c r="B14" s="1" t="s">
        <v>9</v>
      </c>
      <c r="C14" s="2">
        <v>2014</v>
      </c>
      <c r="D14" s="6" t="str">
        <f>HYPERLINK("https://journals.plos.org/plosone/article?id=10.1371/journal.pone.0108798", "Link")</f>
        <v>Link</v>
      </c>
      <c r="E14" s="1" t="s">
        <v>11</v>
      </c>
      <c r="F14" s="1" t="s">
        <v>10</v>
      </c>
      <c r="G14" s="1" t="s">
        <v>15</v>
      </c>
      <c r="H14" s="1" t="s">
        <v>3</v>
      </c>
      <c r="I14" s="2" t="s">
        <v>3</v>
      </c>
      <c r="J14" s="2" t="s">
        <v>3</v>
      </c>
      <c r="K14" s="1" t="s">
        <v>12</v>
      </c>
      <c r="L14" s="1" t="s">
        <v>162</v>
      </c>
      <c r="N14" s="1"/>
      <c r="O14" s="1" t="s">
        <v>122</v>
      </c>
      <c r="P14" s="1" t="s">
        <v>122</v>
      </c>
      <c r="Q14" s="1" t="s">
        <v>122</v>
      </c>
      <c r="R14" s="1" t="s">
        <v>122</v>
      </c>
      <c r="S14" s="1" t="s">
        <v>226</v>
      </c>
      <c r="V14" s="4"/>
    </row>
    <row r="15" spans="1:22" ht="99.75" x14ac:dyDescent="0.45">
      <c r="A15" s="2" t="s">
        <v>118</v>
      </c>
      <c r="B15" s="1" t="s">
        <v>31</v>
      </c>
      <c r="C15" s="2">
        <v>2023</v>
      </c>
      <c r="D15" s="6" t="str">
        <f>HYPERLINK("https://www.sciencedirect.com/science/article/pii/S019888592300335X?pes=vor&amp;utm_source=scopus&amp;getft_integrator=scopus", "Link")</f>
        <v>Link</v>
      </c>
      <c r="E15" s="1" t="s">
        <v>168</v>
      </c>
      <c r="F15" s="1" t="s">
        <v>173</v>
      </c>
      <c r="G15" s="1" t="s">
        <v>174</v>
      </c>
      <c r="H15" s="1" t="s">
        <v>175</v>
      </c>
      <c r="I15" s="1" t="s">
        <v>176</v>
      </c>
      <c r="J15" s="2" t="s">
        <v>3</v>
      </c>
      <c r="K15" s="1" t="s">
        <v>30</v>
      </c>
      <c r="L15" s="1" t="s">
        <v>177</v>
      </c>
      <c r="M15" s="1"/>
      <c r="N15" s="1"/>
      <c r="O15" s="2" t="s">
        <v>218</v>
      </c>
      <c r="P15" s="1" t="s">
        <v>135</v>
      </c>
      <c r="Q15" s="1" t="s">
        <v>136</v>
      </c>
      <c r="R15" s="1" t="s">
        <v>232</v>
      </c>
      <c r="S15" s="1" t="s">
        <v>233</v>
      </c>
      <c r="V15" s="4"/>
    </row>
    <row r="16" spans="1:22" ht="42.75" x14ac:dyDescent="0.45">
      <c r="A16" s="2" t="s">
        <v>119</v>
      </c>
      <c r="B16" s="1" t="s">
        <v>39</v>
      </c>
      <c r="C16" s="2">
        <v>2020</v>
      </c>
      <c r="D16" s="6" t="str">
        <f>HYPERLINK("https://www.sciencedirect.com/science/article/pii/S1201971220303404?pes=vor&amp;utm_source=scopus&amp;getft_integrator=scopus", "Link")</f>
        <v>Link</v>
      </c>
      <c r="E16" s="1" t="s">
        <v>40</v>
      </c>
      <c r="F16" s="1" t="s">
        <v>186</v>
      </c>
      <c r="G16" s="2" t="s">
        <v>3</v>
      </c>
      <c r="H16" s="2" t="s">
        <v>3</v>
      </c>
      <c r="I16" s="1" t="s">
        <v>185</v>
      </c>
      <c r="J16" s="2" t="s">
        <v>3</v>
      </c>
      <c r="K16" s="1" t="s">
        <v>41</v>
      </c>
      <c r="L16" s="1" t="s">
        <v>184</v>
      </c>
      <c r="N16" s="1"/>
      <c r="O16" s="1" t="s">
        <v>122</v>
      </c>
      <c r="P16" s="1" t="s">
        <v>122</v>
      </c>
      <c r="Q16" s="1" t="s">
        <v>122</v>
      </c>
      <c r="R16" s="1" t="s">
        <v>122</v>
      </c>
      <c r="S16" s="1" t="s">
        <v>233</v>
      </c>
      <c r="V16" s="4"/>
    </row>
    <row r="17" spans="1:24" ht="42.75" x14ac:dyDescent="0.45">
      <c r="A17" s="2" t="s">
        <v>118</v>
      </c>
      <c r="B17" s="1" t="s">
        <v>95</v>
      </c>
      <c r="C17" s="2">
        <v>2022</v>
      </c>
      <c r="D17" s="6" t="str">
        <f>HYPERLINK("https://pubmed.ncbi.nlm.nih.gov/36338940/","Link")</f>
        <v>Link</v>
      </c>
      <c r="E17" s="1" t="s">
        <v>205</v>
      </c>
      <c r="F17" s="1" t="s">
        <v>206</v>
      </c>
      <c r="G17" s="1" t="s">
        <v>207</v>
      </c>
      <c r="H17" s="1" t="s">
        <v>208</v>
      </c>
      <c r="I17" s="2" t="s">
        <v>3</v>
      </c>
      <c r="J17" s="2" t="s">
        <v>3</v>
      </c>
      <c r="K17" s="1" t="s">
        <v>88</v>
      </c>
      <c r="L17" s="1" t="s">
        <v>209</v>
      </c>
      <c r="N17" s="1"/>
      <c r="O17" s="2" t="s">
        <v>218</v>
      </c>
      <c r="P17" s="1" t="s">
        <v>250</v>
      </c>
      <c r="Q17" s="1" t="s">
        <v>251</v>
      </c>
      <c r="R17" s="1" t="s">
        <v>252</v>
      </c>
      <c r="S17" s="1" t="s">
        <v>259</v>
      </c>
      <c r="V17" s="4"/>
    </row>
    <row r="18" spans="1:24" ht="42.75" x14ac:dyDescent="0.45">
      <c r="A18" s="2" t="s">
        <v>119</v>
      </c>
      <c r="B18" s="1" t="s">
        <v>108</v>
      </c>
      <c r="C18" s="2">
        <v>2017</v>
      </c>
      <c r="D18" s="6" t="str">
        <f>HYPERLINK("https://link.springer.com/article/10.1007/s00430-017-0522-1","Link")</f>
        <v>Link</v>
      </c>
      <c r="E18" s="1" t="s">
        <v>109</v>
      </c>
      <c r="F18" s="1" t="s">
        <v>110</v>
      </c>
      <c r="G18" s="1" t="s">
        <v>111</v>
      </c>
      <c r="H18" s="1" t="s">
        <v>112</v>
      </c>
      <c r="I18" s="2" t="s">
        <v>3</v>
      </c>
      <c r="J18" s="2" t="s">
        <v>3</v>
      </c>
      <c r="K18" s="1" t="s">
        <v>113</v>
      </c>
      <c r="L18" s="1" t="s">
        <v>114</v>
      </c>
      <c r="N18" s="1"/>
      <c r="O18" s="2" t="s">
        <v>218</v>
      </c>
      <c r="P18" s="1" t="s">
        <v>263</v>
      </c>
      <c r="Q18" s="1" t="s">
        <v>262</v>
      </c>
      <c r="R18" s="1" t="s">
        <v>261</v>
      </c>
      <c r="S18" s="1" t="s">
        <v>260</v>
      </c>
      <c r="V18" s="4"/>
    </row>
    <row r="19" spans="1:24" ht="42.75" x14ac:dyDescent="0.45">
      <c r="A19" s="1" t="s">
        <v>152</v>
      </c>
      <c r="B19" s="1" t="s">
        <v>9</v>
      </c>
      <c r="C19" s="2">
        <v>2014</v>
      </c>
      <c r="D19" s="6" t="str">
        <f>HYPERLINK("https://journals.plos.org/plosone/article?id=10.1371/journal.pone.0108798", "Link")</f>
        <v>Link</v>
      </c>
      <c r="E19" s="1" t="s">
        <v>157</v>
      </c>
      <c r="F19" s="1" t="s">
        <v>14</v>
      </c>
      <c r="G19" s="1" t="s">
        <v>16</v>
      </c>
      <c r="H19" s="1" t="s">
        <v>158</v>
      </c>
      <c r="I19" s="2" t="s">
        <v>3</v>
      </c>
      <c r="J19" s="2" t="s">
        <v>3</v>
      </c>
      <c r="K19" s="1" t="s">
        <v>159</v>
      </c>
      <c r="L19" s="1" t="s">
        <v>17</v>
      </c>
      <c r="N19" s="1"/>
      <c r="O19" s="1" t="s">
        <v>122</v>
      </c>
      <c r="P19" s="1" t="s">
        <v>122</v>
      </c>
      <c r="Q19" s="1" t="s">
        <v>122</v>
      </c>
      <c r="R19" s="1" t="s">
        <v>122</v>
      </c>
      <c r="S19" s="1" t="s">
        <v>3</v>
      </c>
      <c r="V19" s="4"/>
    </row>
    <row r="20" spans="1:24" ht="42.75" x14ac:dyDescent="0.45">
      <c r="A20" s="2" t="s">
        <v>153</v>
      </c>
      <c r="B20" s="1" t="s">
        <v>23</v>
      </c>
      <c r="C20" s="2">
        <v>2015</v>
      </c>
      <c r="D20" s="6" t="str">
        <f>HYPERLINK("https://www.sciencedirect.com/science/article/pii/S1472979215300767", "Link")</f>
        <v>Link</v>
      </c>
      <c r="E20" s="1" t="s">
        <v>24</v>
      </c>
      <c r="F20" s="1" t="s">
        <v>165</v>
      </c>
      <c r="G20" s="1" t="s">
        <v>25</v>
      </c>
      <c r="H20" s="1" t="s">
        <v>25</v>
      </c>
      <c r="I20" s="2" t="s">
        <v>3</v>
      </c>
      <c r="J20" s="2" t="s">
        <v>3</v>
      </c>
      <c r="K20" s="1" t="s">
        <v>3</v>
      </c>
      <c r="L20" s="1" t="s">
        <v>17</v>
      </c>
      <c r="N20" s="1"/>
      <c r="O20" s="1" t="s">
        <v>122</v>
      </c>
      <c r="P20" s="1" t="s">
        <v>122</v>
      </c>
      <c r="Q20" s="1" t="s">
        <v>122</v>
      </c>
      <c r="R20" s="1" t="s">
        <v>122</v>
      </c>
      <c r="S20" s="1" t="s">
        <v>3</v>
      </c>
      <c r="V20" s="4"/>
    </row>
    <row r="21" spans="1:24" ht="42.75" x14ac:dyDescent="0.45">
      <c r="A21" s="2" t="s">
        <v>118</v>
      </c>
      <c r="B21" s="1" t="s">
        <v>28</v>
      </c>
      <c r="C21" s="2">
        <v>2025</v>
      </c>
      <c r="D21" s="6" t="str">
        <f>HYPERLINK("https://pmc.ncbi.nlm.nih.gov/articles/PMC11458138/#S9", "Link")</f>
        <v>Link</v>
      </c>
      <c r="E21" s="1" t="s">
        <v>168</v>
      </c>
      <c r="F21" s="1" t="s">
        <v>164</v>
      </c>
      <c r="G21" s="1" t="s">
        <v>167</v>
      </c>
      <c r="H21" s="1" t="s">
        <v>166</v>
      </c>
      <c r="I21" s="2" t="s">
        <v>3</v>
      </c>
      <c r="J21" s="2" t="s">
        <v>3</v>
      </c>
      <c r="K21" s="1" t="s">
        <v>26</v>
      </c>
      <c r="L21" s="1" t="s">
        <v>27</v>
      </c>
      <c r="N21" s="1"/>
      <c r="O21" s="1" t="s">
        <v>122</v>
      </c>
      <c r="P21" s="1" t="s">
        <v>122</v>
      </c>
      <c r="Q21" s="1" t="s">
        <v>122</v>
      </c>
      <c r="R21" s="1" t="s">
        <v>122</v>
      </c>
      <c r="S21" s="1" t="s">
        <v>3</v>
      </c>
      <c r="V21" s="4"/>
    </row>
    <row r="22" spans="1:24" ht="232.15" customHeight="1" x14ac:dyDescent="0.45">
      <c r="A22" s="1" t="s">
        <v>154</v>
      </c>
      <c r="B22" s="1" t="s">
        <v>32</v>
      </c>
      <c r="C22" s="2">
        <v>2023</v>
      </c>
      <c r="D22" s="6" t="str">
        <f>HYPERLINK("https://pubmed.ncbi.nlm.nih.gov/37636520/", "Link")</f>
        <v>Link</v>
      </c>
      <c r="E22" s="1" t="s">
        <v>33</v>
      </c>
      <c r="F22" s="1" t="s">
        <v>178</v>
      </c>
      <c r="G22" s="1" t="s">
        <v>179</v>
      </c>
      <c r="H22" s="1" t="s">
        <v>180</v>
      </c>
      <c r="I22" s="1" t="s">
        <v>181</v>
      </c>
      <c r="J22" s="2" t="s">
        <v>3</v>
      </c>
      <c r="K22" s="1" t="s">
        <v>34</v>
      </c>
      <c r="L22" s="1" t="s">
        <v>27</v>
      </c>
      <c r="N22" s="1"/>
      <c r="O22" s="1" t="s">
        <v>122</v>
      </c>
      <c r="P22" s="1" t="s">
        <v>122</v>
      </c>
      <c r="Q22" s="1" t="s">
        <v>122</v>
      </c>
      <c r="R22" s="1" t="s">
        <v>122</v>
      </c>
      <c r="S22" s="1" t="s">
        <v>3</v>
      </c>
      <c r="V22" s="4"/>
    </row>
    <row r="23" spans="1:24" ht="42.75" x14ac:dyDescent="0.45">
      <c r="A23" s="2" t="s">
        <v>152</v>
      </c>
      <c r="B23" s="1" t="s">
        <v>35</v>
      </c>
      <c r="C23" s="2">
        <v>2020</v>
      </c>
      <c r="D23" s="6" t="str">
        <f>HYPERLINK("https://link.springer.com/article/10.1007/s00430-020-00685-z", "Link")</f>
        <v>Link</v>
      </c>
      <c r="E23" s="1" t="s">
        <v>36</v>
      </c>
      <c r="F23" s="1" t="s">
        <v>182</v>
      </c>
      <c r="G23" s="1" t="s">
        <v>183</v>
      </c>
      <c r="H23" s="1" t="s">
        <v>37</v>
      </c>
      <c r="I23" s="2" t="s">
        <v>3</v>
      </c>
      <c r="J23" s="2" t="s">
        <v>3</v>
      </c>
      <c r="K23" s="1" t="s">
        <v>38</v>
      </c>
      <c r="L23" s="1" t="s">
        <v>17</v>
      </c>
      <c r="N23" s="1"/>
      <c r="O23" s="2" t="s">
        <v>218</v>
      </c>
      <c r="P23" s="1" t="s">
        <v>235</v>
      </c>
      <c r="Q23" s="1" t="s">
        <v>234</v>
      </c>
      <c r="R23" s="2" t="s">
        <v>232</v>
      </c>
      <c r="S23" s="1" t="s">
        <v>3</v>
      </c>
      <c r="V23" s="4"/>
    </row>
    <row r="24" spans="1:24" ht="85.5" x14ac:dyDescent="0.45">
      <c r="A24" s="2" t="s">
        <v>121</v>
      </c>
      <c r="B24" s="1" t="s">
        <v>42</v>
      </c>
      <c r="C24" s="2">
        <v>2018</v>
      </c>
      <c r="D24" s="6" t="str">
        <f>HYPERLINK("https://journals.plos.org/plosone/article?id=10.1371/journal.pone.0195452", "Link")</f>
        <v>Link</v>
      </c>
      <c r="E24" s="1" t="s">
        <v>187</v>
      </c>
      <c r="F24" s="1" t="s">
        <v>43</v>
      </c>
      <c r="G24" s="1" t="s">
        <v>44</v>
      </c>
      <c r="H24" s="1" t="s">
        <v>45</v>
      </c>
      <c r="I24" s="2" t="s">
        <v>3</v>
      </c>
      <c r="J24" s="2" t="s">
        <v>3</v>
      </c>
      <c r="K24" s="1" t="s">
        <v>46</v>
      </c>
      <c r="L24" s="2" t="s">
        <v>17</v>
      </c>
      <c r="N24" s="1"/>
      <c r="O24" s="2" t="s">
        <v>218</v>
      </c>
      <c r="P24" s="1" t="s">
        <v>267</v>
      </c>
      <c r="Q24" s="1" t="s">
        <v>268</v>
      </c>
      <c r="R24" s="2" t="s">
        <v>232</v>
      </c>
      <c r="S24" s="1" t="s">
        <v>3</v>
      </c>
      <c r="V24" s="4"/>
    </row>
    <row r="25" spans="1:24" ht="59.65" customHeight="1" x14ac:dyDescent="0.45">
      <c r="A25" s="2" t="s">
        <v>116</v>
      </c>
      <c r="B25" s="1" t="s">
        <v>55</v>
      </c>
      <c r="C25" s="2">
        <v>2012</v>
      </c>
      <c r="D25" s="6" t="str">
        <f>HYPERLINK("https://pmc.ncbi.nlm.nih.gov/articles/PMC3320664/", "Link")</f>
        <v>Link</v>
      </c>
      <c r="E25" s="1" t="s">
        <v>56</v>
      </c>
      <c r="F25" s="1" t="s">
        <v>57</v>
      </c>
      <c r="G25" s="1" t="s">
        <v>58</v>
      </c>
      <c r="H25" s="1" t="s">
        <v>59</v>
      </c>
      <c r="I25" s="2" t="s">
        <v>3</v>
      </c>
      <c r="J25" s="2" t="s">
        <v>3</v>
      </c>
      <c r="K25" s="1" t="s">
        <v>60</v>
      </c>
      <c r="L25" s="1" t="s">
        <v>17</v>
      </c>
      <c r="N25" s="1"/>
      <c r="O25" s="1" t="s">
        <v>122</v>
      </c>
      <c r="P25" s="1" t="s">
        <v>122</v>
      </c>
      <c r="Q25" s="1" t="s">
        <v>122</v>
      </c>
      <c r="R25" s="1" t="s">
        <v>122</v>
      </c>
      <c r="S25" s="1" t="s">
        <v>3</v>
      </c>
    </row>
    <row r="26" spans="1:24" ht="57" x14ac:dyDescent="0.45">
      <c r="A26" s="2" t="s">
        <v>117</v>
      </c>
      <c r="B26" s="1" t="s">
        <v>66</v>
      </c>
      <c r="C26" s="2">
        <v>2012</v>
      </c>
      <c r="D26" s="6" t="str">
        <f>HYPERLINK("https://pubmed.ncbi.nlm.nih.gov/22958291/", "Link")</f>
        <v>Link</v>
      </c>
      <c r="E26" s="1" t="s">
        <v>67</v>
      </c>
      <c r="F26" s="1" t="s">
        <v>68</v>
      </c>
      <c r="G26" s="1" t="s">
        <v>69</v>
      </c>
      <c r="H26" s="1" t="s">
        <v>70</v>
      </c>
      <c r="I26" s="2" t="s">
        <v>3</v>
      </c>
      <c r="J26" s="2" t="s">
        <v>3</v>
      </c>
      <c r="K26" s="1" t="s">
        <v>71</v>
      </c>
      <c r="L26" s="1" t="s">
        <v>17</v>
      </c>
      <c r="N26" s="1"/>
      <c r="O26" s="2" t="s">
        <v>218</v>
      </c>
      <c r="P26" s="1" t="s">
        <v>242</v>
      </c>
      <c r="Q26" s="1" t="s">
        <v>243</v>
      </c>
      <c r="R26" s="2" t="s">
        <v>232</v>
      </c>
      <c r="S26" s="1" t="s">
        <v>3</v>
      </c>
    </row>
    <row r="27" spans="1:24" ht="99.75" x14ac:dyDescent="0.45">
      <c r="A27" s="2" t="s">
        <v>120</v>
      </c>
      <c r="B27" s="1" t="s">
        <v>75</v>
      </c>
      <c r="C27" s="2">
        <v>2017</v>
      </c>
      <c r="D27" s="6" t="str">
        <f>HYPERLINK("https://journals.plos.org/plosone/article?id=10.1371/journal.pone.0172527","Link")</f>
        <v>Link</v>
      </c>
      <c r="E27" s="1" t="s">
        <v>76</v>
      </c>
      <c r="F27" s="1" t="s">
        <v>73</v>
      </c>
      <c r="G27" s="1" t="s">
        <v>196</v>
      </c>
      <c r="H27" s="2" t="s">
        <v>3</v>
      </c>
      <c r="I27" s="1" t="s">
        <v>195</v>
      </c>
      <c r="J27" s="2" t="s">
        <v>3</v>
      </c>
      <c r="K27" s="1" t="s">
        <v>74</v>
      </c>
      <c r="L27" s="1" t="s">
        <v>17</v>
      </c>
      <c r="N27" s="1"/>
      <c r="O27" s="1" t="s">
        <v>122</v>
      </c>
      <c r="P27" s="1" t="s">
        <v>122</v>
      </c>
      <c r="Q27" s="1" t="s">
        <v>122</v>
      </c>
      <c r="R27" s="1" t="s">
        <v>122</v>
      </c>
      <c r="S27" s="1" t="s">
        <v>3</v>
      </c>
      <c r="U27" s="2"/>
      <c r="V27" s="2"/>
      <c r="W27" s="2"/>
      <c r="X27" s="3"/>
    </row>
    <row r="28" spans="1:24" ht="71.25" x14ac:dyDescent="0.45">
      <c r="A28" s="2" t="s">
        <v>155</v>
      </c>
      <c r="B28" s="1" t="s">
        <v>90</v>
      </c>
      <c r="C28" s="2">
        <v>2014</v>
      </c>
      <c r="D28" s="6" t="str">
        <f>HYPERLINK("https://academic.oup.com/jid/article-abstract/210/7/1083/2908682?login=false","Link")</f>
        <v>Link</v>
      </c>
      <c r="E28" s="1" t="s">
        <v>89</v>
      </c>
      <c r="F28" s="1" t="s">
        <v>91</v>
      </c>
      <c r="G28" s="1" t="s">
        <v>204</v>
      </c>
      <c r="H28" s="1" t="s">
        <v>92</v>
      </c>
      <c r="I28" s="2" t="s">
        <v>3</v>
      </c>
      <c r="J28" s="2" t="s">
        <v>3</v>
      </c>
      <c r="K28" s="1" t="s">
        <v>93</v>
      </c>
      <c r="L28" s="2" t="s">
        <v>94</v>
      </c>
      <c r="N28" s="1"/>
      <c r="O28" s="1" t="s">
        <v>122</v>
      </c>
      <c r="P28" s="1" t="s">
        <v>122</v>
      </c>
      <c r="Q28" s="1" t="s">
        <v>122</v>
      </c>
      <c r="R28" s="1" t="s">
        <v>122</v>
      </c>
      <c r="S28" s="1" t="s">
        <v>3</v>
      </c>
    </row>
    <row r="29" spans="1:24" ht="42.75" x14ac:dyDescent="0.45">
      <c r="A29" s="2" t="s">
        <v>118</v>
      </c>
      <c r="B29" s="1" t="s">
        <v>96</v>
      </c>
      <c r="C29" s="2">
        <v>2021</v>
      </c>
      <c r="D29" s="6" t="str">
        <f>HYPERLINK("https://journals.plos.org/plosone/article?id=10.1371/journal.pone.0255608","Link")</f>
        <v>Link</v>
      </c>
      <c r="E29" s="1" t="s">
        <v>97</v>
      </c>
      <c r="F29" s="1" t="s">
        <v>98</v>
      </c>
      <c r="G29" s="1" t="s">
        <v>99</v>
      </c>
      <c r="H29" s="1" t="s">
        <v>100</v>
      </c>
      <c r="I29" s="2" t="s">
        <v>3</v>
      </c>
      <c r="J29" s="2" t="s">
        <v>3</v>
      </c>
      <c r="K29" s="1" t="s">
        <v>101</v>
      </c>
      <c r="L29" s="1" t="s">
        <v>27</v>
      </c>
      <c r="N29" s="1"/>
      <c r="O29" s="2" t="s">
        <v>218</v>
      </c>
      <c r="P29" s="1" t="s">
        <v>253</v>
      </c>
      <c r="Q29" s="1" t="s">
        <v>254</v>
      </c>
      <c r="R29" s="2" t="s">
        <v>232</v>
      </c>
      <c r="S29" s="1" t="s">
        <v>3</v>
      </c>
    </row>
    <row r="30" spans="1:24" ht="42.75" x14ac:dyDescent="0.45">
      <c r="A30" s="2" t="s">
        <v>156</v>
      </c>
      <c r="B30" s="1" t="s">
        <v>104</v>
      </c>
      <c r="C30" s="2">
        <v>2015</v>
      </c>
      <c r="D30" s="6" t="str">
        <f>HYPERLINK("https://journals.plos.org/plosntds/article?id=10.1371/journal.pntd.0003753","Link")</f>
        <v>Link</v>
      </c>
      <c r="E30" s="1" t="s">
        <v>105</v>
      </c>
      <c r="F30" s="1" t="s">
        <v>106</v>
      </c>
      <c r="G30" s="1" t="s">
        <v>215</v>
      </c>
      <c r="H30" s="1" t="s">
        <v>214</v>
      </c>
      <c r="I30" s="1" t="s">
        <v>216</v>
      </c>
      <c r="J30" s="2" t="s">
        <v>3</v>
      </c>
      <c r="K30" s="1" t="s">
        <v>107</v>
      </c>
      <c r="L30" s="1" t="s">
        <v>17</v>
      </c>
      <c r="N30" s="1"/>
      <c r="O30" s="2" t="s">
        <v>218</v>
      </c>
      <c r="P30" s="1" t="s">
        <v>269</v>
      </c>
      <c r="Q30" s="1" t="s">
        <v>270</v>
      </c>
      <c r="R30" s="2" t="s">
        <v>232</v>
      </c>
      <c r="S30" s="2" t="s">
        <v>3</v>
      </c>
    </row>
    <row r="32" spans="1:24" ht="84.4" customHeight="1" x14ac:dyDescent="0.45"/>
    <row r="33" spans="1:16" ht="61.9" customHeight="1" x14ac:dyDescent="0.45"/>
    <row r="35" spans="1:16" ht="143.25" customHeight="1" x14ac:dyDescent="0.45"/>
    <row r="36" spans="1:16" ht="205.9" customHeight="1" x14ac:dyDescent="0.45"/>
    <row r="40" spans="1:16" ht="152.25" customHeight="1" x14ac:dyDescent="0.45"/>
    <row r="44" spans="1:16" ht="168.4" customHeight="1" x14ac:dyDescent="0.45"/>
    <row r="45" spans="1:16" ht="93.4" customHeight="1" x14ac:dyDescent="0.45"/>
    <row r="46" spans="1:16" ht="102.4" customHeight="1" x14ac:dyDescent="0.45"/>
    <row r="47" spans="1:16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7" ht="15.75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4"/>
    </row>
    <row r="52" spans="1:17" ht="15.75" x14ac:dyDescent="0.45">
      <c r="A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4"/>
    </row>
    <row r="53" spans="1:17" ht="15.75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4"/>
    </row>
    <row r="54" spans="1:17" ht="15.75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4"/>
    </row>
    <row r="55" spans="1:1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7" x14ac:dyDescent="0.45">
      <c r="A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45">
      <c r="A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45">
      <c r="A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45">
      <c r="B68" s="1"/>
      <c r="C68" s="2"/>
    </row>
    <row r="69" spans="1:16" x14ac:dyDescent="0.45">
      <c r="B69" s="2"/>
      <c r="C69" s="1"/>
    </row>
    <row r="70" spans="1:16" x14ac:dyDescent="0.45">
      <c r="B70" s="2"/>
      <c r="C70" s="2"/>
    </row>
    <row r="73" spans="1:16" x14ac:dyDescent="0.45">
      <c r="B73" s="2"/>
      <c r="C73" s="2"/>
    </row>
    <row r="74" spans="1:16" x14ac:dyDescent="0.45">
      <c r="B74" s="2"/>
      <c r="C74" s="2"/>
    </row>
    <row r="75" spans="1:16" x14ac:dyDescent="0.45">
      <c r="B75" s="2"/>
      <c r="C75" s="2"/>
    </row>
    <row r="76" spans="1:16" x14ac:dyDescent="0.45">
      <c r="B76" s="2"/>
      <c r="C76" s="2"/>
    </row>
    <row r="77" spans="1:16" x14ac:dyDescent="0.45">
      <c r="B77" s="2"/>
      <c r="C77" s="2"/>
    </row>
    <row r="78" spans="1:16" x14ac:dyDescent="0.45">
      <c r="B78" s="2"/>
      <c r="C78" s="2"/>
    </row>
    <row r="79" spans="1:16" x14ac:dyDescent="0.45">
      <c r="B79" s="2"/>
      <c r="C79" s="2"/>
    </row>
    <row r="80" spans="1:16" x14ac:dyDescent="0.45">
      <c r="B80" s="2"/>
      <c r="C80" s="2"/>
    </row>
    <row r="81" spans="1:3" x14ac:dyDescent="0.45">
      <c r="B81" s="2"/>
      <c r="C81" s="2"/>
    </row>
    <row r="87" spans="1:3" x14ac:dyDescent="0.45">
      <c r="C87" s="5"/>
    </row>
    <row r="88" spans="1:3" x14ac:dyDescent="0.45">
      <c r="C88" s="5"/>
    </row>
    <row r="93" spans="1:3" ht="15.75" x14ac:dyDescent="0.45">
      <c r="A93" s="4"/>
    </row>
    <row r="94" spans="1:3" ht="15.75" x14ac:dyDescent="0.45">
      <c r="A94" s="4"/>
    </row>
    <row r="95" spans="1:3" ht="15.75" x14ac:dyDescent="0.45">
      <c r="A95" s="4"/>
    </row>
    <row r="96" spans="1:3" ht="15.75" x14ac:dyDescent="0.45">
      <c r="A96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C8A0-0A65-4B23-ADD2-7743C1D34A91}">
  <dimension ref="A1:V51"/>
  <sheetViews>
    <sheetView topLeftCell="A19" zoomScale="49" zoomScaleNormal="61" workbookViewId="0">
      <selection activeCell="G23" sqref="G23"/>
    </sheetView>
  </sheetViews>
  <sheetFormatPr defaultRowHeight="14.25" x14ac:dyDescent="0.45"/>
  <cols>
    <col min="1" max="1" width="14.265625" bestFit="1" customWidth="1"/>
    <col min="2" max="2" width="32" bestFit="1" customWidth="1"/>
    <col min="3" max="3" width="7.86328125" customWidth="1"/>
    <col min="4" max="4" width="9.265625" customWidth="1"/>
    <col min="5" max="5" width="18" bestFit="1" customWidth="1"/>
    <col min="6" max="6" width="20.19921875" bestFit="1" customWidth="1"/>
    <col min="7" max="7" width="60.9296875" customWidth="1"/>
    <col min="8" max="8" width="64.33203125" customWidth="1"/>
  </cols>
  <sheetData>
    <row r="1" spans="1:22" x14ac:dyDescent="0.45">
      <c r="B1" s="2"/>
    </row>
    <row r="2" spans="1:22" ht="15.75" x14ac:dyDescent="0.45">
      <c r="A2" s="2" t="s">
        <v>115</v>
      </c>
      <c r="B2" s="2" t="s">
        <v>133</v>
      </c>
      <c r="C2" s="1" t="s">
        <v>1</v>
      </c>
      <c r="D2" s="1" t="s">
        <v>0</v>
      </c>
      <c r="E2" s="1" t="s">
        <v>137</v>
      </c>
      <c r="F2" s="2" t="s">
        <v>139</v>
      </c>
      <c r="G2" s="1" t="s">
        <v>279</v>
      </c>
      <c r="H2" s="1" t="s">
        <v>280</v>
      </c>
      <c r="V2" s="1"/>
    </row>
    <row r="3" spans="1:22" ht="156.75" x14ac:dyDescent="0.45">
      <c r="A3" s="2" t="s">
        <v>118</v>
      </c>
      <c r="B3" s="1" t="s">
        <v>2</v>
      </c>
      <c r="C3" s="2">
        <v>2022</v>
      </c>
      <c r="D3" s="3" t="s">
        <v>290</v>
      </c>
      <c r="E3" s="1" t="s">
        <v>150</v>
      </c>
      <c r="F3" s="1" t="s">
        <v>145</v>
      </c>
      <c r="G3" s="1" t="s">
        <v>304</v>
      </c>
      <c r="H3" s="1" t="s">
        <v>303</v>
      </c>
      <c r="V3" s="3"/>
    </row>
    <row r="4" spans="1:22" ht="57" x14ac:dyDescent="0.45">
      <c r="A4" s="2" t="s">
        <v>120</v>
      </c>
      <c r="B4" s="1" t="s">
        <v>5</v>
      </c>
      <c r="C4" s="2">
        <v>2018</v>
      </c>
      <c r="D4" s="3" t="s">
        <v>290</v>
      </c>
      <c r="E4" s="1" t="s">
        <v>4</v>
      </c>
      <c r="F4" s="1" t="s">
        <v>6</v>
      </c>
      <c r="G4" s="1" t="s">
        <v>123</v>
      </c>
      <c r="H4" s="2" t="s">
        <v>3</v>
      </c>
      <c r="V4" s="3"/>
    </row>
    <row r="5" spans="1:22" ht="57" x14ac:dyDescent="0.45">
      <c r="A5" s="1" t="s">
        <v>151</v>
      </c>
      <c r="B5" s="1" t="s">
        <v>9</v>
      </c>
      <c r="C5" s="2">
        <v>2014</v>
      </c>
      <c r="D5" s="3" t="s">
        <v>290</v>
      </c>
      <c r="E5" s="1" t="s">
        <v>11</v>
      </c>
      <c r="F5" s="1" t="s">
        <v>10</v>
      </c>
      <c r="G5" s="1" t="s">
        <v>3</v>
      </c>
      <c r="H5" s="1" t="s">
        <v>3</v>
      </c>
      <c r="V5" s="3"/>
    </row>
    <row r="6" spans="1:22" ht="57" x14ac:dyDescent="0.45">
      <c r="A6" s="1" t="s">
        <v>152</v>
      </c>
      <c r="B6" s="1" t="s">
        <v>9</v>
      </c>
      <c r="C6" s="2">
        <v>2014</v>
      </c>
      <c r="D6" s="3" t="s">
        <v>290</v>
      </c>
      <c r="E6" s="1" t="s">
        <v>157</v>
      </c>
      <c r="F6" s="1" t="s">
        <v>14</v>
      </c>
      <c r="G6" s="2" t="s">
        <v>3</v>
      </c>
      <c r="H6" s="1" t="s">
        <v>3</v>
      </c>
      <c r="V6" s="3"/>
    </row>
    <row r="7" spans="1:22" ht="156.75" x14ac:dyDescent="0.45">
      <c r="A7" s="2" t="s">
        <v>116</v>
      </c>
      <c r="B7" s="1" t="s">
        <v>18</v>
      </c>
      <c r="C7" s="2">
        <v>2018</v>
      </c>
      <c r="D7" s="3" t="s">
        <v>290</v>
      </c>
      <c r="E7" s="1" t="s">
        <v>19</v>
      </c>
      <c r="F7" s="1" t="s">
        <v>20</v>
      </c>
      <c r="G7" s="1" t="s">
        <v>281</v>
      </c>
      <c r="H7" s="1" t="s">
        <v>124</v>
      </c>
      <c r="V7" s="3"/>
    </row>
    <row r="8" spans="1:22" ht="42.75" x14ac:dyDescent="0.45">
      <c r="A8" s="2" t="s">
        <v>153</v>
      </c>
      <c r="B8" s="1" t="s">
        <v>23</v>
      </c>
      <c r="C8" s="2">
        <v>2015</v>
      </c>
      <c r="D8" s="3" t="s">
        <v>290</v>
      </c>
      <c r="E8" s="1" t="s">
        <v>24</v>
      </c>
      <c r="F8" s="1" t="s">
        <v>165</v>
      </c>
      <c r="G8" s="1" t="s">
        <v>3</v>
      </c>
      <c r="H8" s="1" t="s">
        <v>3</v>
      </c>
      <c r="V8" s="3"/>
    </row>
    <row r="9" spans="1:22" ht="42.75" x14ac:dyDescent="0.45">
      <c r="A9" s="2" t="s">
        <v>118</v>
      </c>
      <c r="B9" s="1" t="s">
        <v>28</v>
      </c>
      <c r="C9" s="2">
        <v>2025</v>
      </c>
      <c r="D9" s="3" t="s">
        <v>290</v>
      </c>
      <c r="E9" s="1" t="s">
        <v>168</v>
      </c>
      <c r="F9" s="1" t="s">
        <v>164</v>
      </c>
      <c r="G9" s="1" t="s">
        <v>3</v>
      </c>
      <c r="H9" s="1" t="s">
        <v>3</v>
      </c>
      <c r="V9" s="3"/>
    </row>
    <row r="10" spans="1:22" ht="256.5" x14ac:dyDescent="0.45">
      <c r="A10" s="2" t="s">
        <v>118</v>
      </c>
      <c r="B10" s="1" t="s">
        <v>29</v>
      </c>
      <c r="C10" s="2">
        <v>2024</v>
      </c>
      <c r="D10" s="3" t="s">
        <v>290</v>
      </c>
      <c r="E10" s="1" t="s">
        <v>168</v>
      </c>
      <c r="F10" s="1" t="s">
        <v>169</v>
      </c>
      <c r="G10" s="1" t="s">
        <v>283</v>
      </c>
      <c r="H10" s="1" t="s">
        <v>282</v>
      </c>
      <c r="V10" s="3"/>
    </row>
    <row r="11" spans="1:22" ht="156.75" x14ac:dyDescent="0.45">
      <c r="A11" s="2" t="s">
        <v>118</v>
      </c>
      <c r="B11" s="1" t="s">
        <v>31</v>
      </c>
      <c r="C11" s="2">
        <v>2023</v>
      </c>
      <c r="D11" s="3" t="s">
        <v>290</v>
      </c>
      <c r="E11" s="1" t="s">
        <v>168</v>
      </c>
      <c r="F11" s="1" t="s">
        <v>173</v>
      </c>
      <c r="G11" s="1" t="s">
        <v>284</v>
      </c>
      <c r="H11" s="1" t="s">
        <v>125</v>
      </c>
      <c r="V11" s="3"/>
    </row>
    <row r="12" spans="1:22" ht="71.25" x14ac:dyDescent="0.45">
      <c r="A12" s="1" t="s">
        <v>154</v>
      </c>
      <c r="B12" s="1" t="s">
        <v>32</v>
      </c>
      <c r="C12" s="2">
        <v>2023</v>
      </c>
      <c r="D12" s="3" t="s">
        <v>290</v>
      </c>
      <c r="E12" s="1" t="s">
        <v>33</v>
      </c>
      <c r="F12" s="1" t="s">
        <v>178</v>
      </c>
      <c r="G12" s="1" t="s">
        <v>3</v>
      </c>
      <c r="H12" s="1" t="s">
        <v>3</v>
      </c>
      <c r="V12" s="3"/>
    </row>
    <row r="13" spans="1:22" ht="156.75" x14ac:dyDescent="0.45">
      <c r="A13" s="2" t="s">
        <v>152</v>
      </c>
      <c r="B13" s="1" t="s">
        <v>35</v>
      </c>
      <c r="C13" s="2">
        <v>2020</v>
      </c>
      <c r="D13" s="3" t="s">
        <v>290</v>
      </c>
      <c r="E13" s="1" t="s">
        <v>36</v>
      </c>
      <c r="F13" s="1" t="s">
        <v>182</v>
      </c>
      <c r="G13" s="1" t="s">
        <v>285</v>
      </c>
      <c r="H13" s="1" t="s">
        <v>126</v>
      </c>
      <c r="V13" s="3"/>
    </row>
    <row r="14" spans="1:22" ht="42.75" x14ac:dyDescent="0.45">
      <c r="A14" s="2" t="s">
        <v>119</v>
      </c>
      <c r="B14" s="1" t="s">
        <v>39</v>
      </c>
      <c r="C14" s="2">
        <v>2020</v>
      </c>
      <c r="D14" s="3" t="s">
        <v>290</v>
      </c>
      <c r="E14" s="1" t="s">
        <v>40</v>
      </c>
      <c r="F14" s="1" t="s">
        <v>186</v>
      </c>
      <c r="G14" s="1" t="s">
        <v>3</v>
      </c>
      <c r="H14" s="1" t="s">
        <v>3</v>
      </c>
      <c r="V14" s="3"/>
    </row>
    <row r="15" spans="1:22" ht="156.75" x14ac:dyDescent="0.45">
      <c r="A15" s="2" t="s">
        <v>121</v>
      </c>
      <c r="B15" s="1" t="s">
        <v>42</v>
      </c>
      <c r="C15" s="2">
        <v>2018</v>
      </c>
      <c r="D15" s="3" t="s">
        <v>290</v>
      </c>
      <c r="E15" s="1" t="s">
        <v>187</v>
      </c>
      <c r="F15" s="1" t="s">
        <v>43</v>
      </c>
      <c r="G15" s="1" t="s">
        <v>286</v>
      </c>
      <c r="H15" s="1" t="s">
        <v>127</v>
      </c>
      <c r="V15" s="3"/>
    </row>
    <row r="16" spans="1:22" ht="85.5" x14ac:dyDescent="0.45">
      <c r="A16" s="2" t="s">
        <v>120</v>
      </c>
      <c r="B16" s="1" t="s">
        <v>47</v>
      </c>
      <c r="C16" s="2">
        <v>2009</v>
      </c>
      <c r="D16" s="3" t="s">
        <v>290</v>
      </c>
      <c r="E16" s="1" t="s">
        <v>188</v>
      </c>
      <c r="F16" s="1" t="s">
        <v>48</v>
      </c>
      <c r="G16" s="1" t="s">
        <v>3</v>
      </c>
      <c r="H16" s="1" t="s">
        <v>3</v>
      </c>
      <c r="V16" s="3"/>
    </row>
    <row r="17" spans="1:22" ht="156.75" x14ac:dyDescent="0.45">
      <c r="A17" s="2" t="s">
        <v>153</v>
      </c>
      <c r="B17" s="1" t="s">
        <v>51</v>
      </c>
      <c r="C17" s="2">
        <v>2012</v>
      </c>
      <c r="D17" s="6" t="s">
        <v>290</v>
      </c>
      <c r="E17" s="1" t="s">
        <v>190</v>
      </c>
      <c r="F17" s="1" t="s">
        <v>52</v>
      </c>
      <c r="G17" s="1" t="s">
        <v>287</v>
      </c>
      <c r="H17" s="1" t="s">
        <v>128</v>
      </c>
      <c r="V17" s="3"/>
    </row>
    <row r="18" spans="1:22" ht="42.75" x14ac:dyDescent="0.45">
      <c r="A18" s="2" t="s">
        <v>116</v>
      </c>
      <c r="B18" s="1" t="s">
        <v>55</v>
      </c>
      <c r="C18" s="2">
        <v>2012</v>
      </c>
      <c r="D18" s="3" t="s">
        <v>290</v>
      </c>
      <c r="E18" s="1" t="s">
        <v>56</v>
      </c>
      <c r="F18" s="1" t="s">
        <v>57</v>
      </c>
      <c r="G18" s="1" t="s">
        <v>3</v>
      </c>
      <c r="H18" s="2"/>
      <c r="V18" s="3"/>
    </row>
    <row r="19" spans="1:22" ht="99.75" x14ac:dyDescent="0.45">
      <c r="A19" s="2" t="s">
        <v>120</v>
      </c>
      <c r="B19" s="1" t="s">
        <v>61</v>
      </c>
      <c r="C19" s="2">
        <v>2021</v>
      </c>
      <c r="D19" s="3" t="s">
        <v>290</v>
      </c>
      <c r="E19" s="1" t="s">
        <v>194</v>
      </c>
      <c r="F19" s="1" t="s">
        <v>62</v>
      </c>
      <c r="G19" s="1" t="s">
        <v>288</v>
      </c>
      <c r="H19" s="1" t="s">
        <v>129</v>
      </c>
      <c r="V19" s="3"/>
    </row>
    <row r="20" spans="1:22" ht="171" x14ac:dyDescent="0.45">
      <c r="A20" s="2" t="s">
        <v>117</v>
      </c>
      <c r="B20" s="1" t="s">
        <v>66</v>
      </c>
      <c r="C20" s="2">
        <v>2012</v>
      </c>
      <c r="D20" s="3" t="s">
        <v>290</v>
      </c>
      <c r="E20" s="1" t="s">
        <v>67</v>
      </c>
      <c r="F20" s="1" t="s">
        <v>68</v>
      </c>
      <c r="G20" s="1" t="s">
        <v>289</v>
      </c>
      <c r="H20" s="1" t="s">
        <v>130</v>
      </c>
      <c r="V20" s="3"/>
    </row>
    <row r="21" spans="1:22" ht="57" x14ac:dyDescent="0.45">
      <c r="A21" s="2" t="s">
        <v>120</v>
      </c>
      <c r="B21" s="1" t="s">
        <v>75</v>
      </c>
      <c r="C21" s="2">
        <v>2017</v>
      </c>
      <c r="D21" s="3" t="s">
        <v>290</v>
      </c>
      <c r="E21" s="1" t="s">
        <v>76</v>
      </c>
      <c r="F21" s="1" t="s">
        <v>73</v>
      </c>
      <c r="G21" s="1" t="s">
        <v>3</v>
      </c>
      <c r="H21" s="1" t="s">
        <v>3</v>
      </c>
      <c r="V21" s="3"/>
    </row>
    <row r="22" spans="1:22" ht="57" x14ac:dyDescent="0.45">
      <c r="A22" s="2" t="s">
        <v>119</v>
      </c>
      <c r="B22" s="1" t="s">
        <v>77</v>
      </c>
      <c r="C22" s="2">
        <v>2016</v>
      </c>
      <c r="D22" s="3" t="s">
        <v>290</v>
      </c>
      <c r="E22" s="1" t="s">
        <v>197</v>
      </c>
      <c r="F22" s="1" t="s">
        <v>78</v>
      </c>
      <c r="G22" s="1" t="s">
        <v>3</v>
      </c>
      <c r="H22" s="1" t="s">
        <v>3</v>
      </c>
      <c r="V22" s="3"/>
    </row>
    <row r="23" spans="1:22" ht="156.75" x14ac:dyDescent="0.45">
      <c r="A23" s="2" t="s">
        <v>152</v>
      </c>
      <c r="B23" s="1" t="s">
        <v>80</v>
      </c>
      <c r="C23" s="2">
        <v>2013</v>
      </c>
      <c r="D23" s="3" t="s">
        <v>290</v>
      </c>
      <c r="E23" s="1" t="s">
        <v>36</v>
      </c>
      <c r="F23" s="1" t="s">
        <v>81</v>
      </c>
      <c r="G23" s="1" t="s">
        <v>302</v>
      </c>
      <c r="H23" s="1" t="s">
        <v>131</v>
      </c>
      <c r="V23" s="3"/>
    </row>
    <row r="24" spans="1:22" ht="156.75" x14ac:dyDescent="0.45">
      <c r="A24" s="2" t="s">
        <v>118</v>
      </c>
      <c r="B24" s="1" t="s">
        <v>85</v>
      </c>
      <c r="C24" s="2">
        <v>2024</v>
      </c>
      <c r="D24" s="3" t="s">
        <v>290</v>
      </c>
      <c r="E24" s="1" t="s">
        <v>168</v>
      </c>
      <c r="F24" s="1" t="s">
        <v>202</v>
      </c>
      <c r="G24" s="1" t="s">
        <v>300</v>
      </c>
      <c r="H24" s="1" t="s">
        <v>301</v>
      </c>
      <c r="V24" s="3"/>
    </row>
    <row r="25" spans="1:22" ht="85.5" x14ac:dyDescent="0.45">
      <c r="A25" s="2" t="s">
        <v>155</v>
      </c>
      <c r="B25" s="1" t="s">
        <v>90</v>
      </c>
      <c r="C25" s="2">
        <v>2014</v>
      </c>
      <c r="D25" s="3" t="s">
        <v>290</v>
      </c>
      <c r="E25" s="1" t="s">
        <v>89</v>
      </c>
      <c r="F25" s="1" t="s">
        <v>91</v>
      </c>
      <c r="G25" s="1" t="s">
        <v>3</v>
      </c>
      <c r="H25" s="1" t="s">
        <v>3</v>
      </c>
      <c r="V25" s="3"/>
    </row>
    <row r="26" spans="1:22" ht="156.75" x14ac:dyDescent="0.45">
      <c r="A26" s="2" t="s">
        <v>118</v>
      </c>
      <c r="B26" s="1" t="s">
        <v>95</v>
      </c>
      <c r="C26" s="2">
        <v>2022</v>
      </c>
      <c r="D26" s="3" t="s">
        <v>290</v>
      </c>
      <c r="E26" s="1" t="s">
        <v>205</v>
      </c>
      <c r="F26" s="1" t="s">
        <v>206</v>
      </c>
      <c r="G26" s="1" t="s">
        <v>299</v>
      </c>
      <c r="H26" s="1" t="s">
        <v>298</v>
      </c>
      <c r="V26" s="3"/>
    </row>
    <row r="27" spans="1:22" ht="156.75" x14ac:dyDescent="0.45">
      <c r="A27" s="2" t="s">
        <v>118</v>
      </c>
      <c r="B27" s="1" t="s">
        <v>96</v>
      </c>
      <c r="C27" s="2">
        <v>2021</v>
      </c>
      <c r="D27" s="3" t="s">
        <v>290</v>
      </c>
      <c r="E27" s="1" t="s">
        <v>97</v>
      </c>
      <c r="F27" s="1" t="s">
        <v>98</v>
      </c>
      <c r="G27" s="1" t="s">
        <v>296</v>
      </c>
      <c r="H27" s="1" t="s">
        <v>297</v>
      </c>
      <c r="V27" s="3"/>
    </row>
    <row r="28" spans="1:22" ht="171" x14ac:dyDescent="0.45">
      <c r="A28" s="2" t="s">
        <v>121</v>
      </c>
      <c r="B28" s="1" t="s">
        <v>200</v>
      </c>
      <c r="C28" s="2">
        <v>2011</v>
      </c>
      <c r="D28" s="3" t="s">
        <v>290</v>
      </c>
      <c r="E28" s="1" t="s">
        <v>210</v>
      </c>
      <c r="F28" s="1" t="s">
        <v>211</v>
      </c>
      <c r="G28" s="1" t="s">
        <v>295</v>
      </c>
      <c r="H28" s="1" t="s">
        <v>294</v>
      </c>
      <c r="V28" s="3"/>
    </row>
    <row r="29" spans="1:22" ht="156.75" x14ac:dyDescent="0.45">
      <c r="A29" s="2" t="s">
        <v>156</v>
      </c>
      <c r="B29" s="1" t="s">
        <v>104</v>
      </c>
      <c r="C29" s="2">
        <v>2015</v>
      </c>
      <c r="D29" s="3" t="s">
        <v>290</v>
      </c>
      <c r="E29" s="1" t="s">
        <v>105</v>
      </c>
      <c r="F29" s="1" t="s">
        <v>106</v>
      </c>
      <c r="G29" s="1" t="s">
        <v>293</v>
      </c>
      <c r="H29" s="1" t="s">
        <v>132</v>
      </c>
      <c r="V29" s="3"/>
    </row>
    <row r="30" spans="1:22" ht="156.75" x14ac:dyDescent="0.45">
      <c r="A30" s="2" t="s">
        <v>119</v>
      </c>
      <c r="B30" s="1" t="s">
        <v>108</v>
      </c>
      <c r="C30" s="2">
        <v>2017</v>
      </c>
      <c r="D30" s="3" t="s">
        <v>290</v>
      </c>
      <c r="E30" s="1" t="s">
        <v>109</v>
      </c>
      <c r="F30" s="1" t="s">
        <v>110</v>
      </c>
      <c r="G30" s="1" t="s">
        <v>291</v>
      </c>
      <c r="H30" s="1" t="s">
        <v>292</v>
      </c>
      <c r="V30" s="3"/>
    </row>
    <row r="31" spans="1:22" x14ac:dyDescent="0.45">
      <c r="B31" s="2"/>
    </row>
    <row r="32" spans="1:22" x14ac:dyDescent="0.45">
      <c r="B32" s="2"/>
    </row>
    <row r="33" spans="2:2" x14ac:dyDescent="0.45">
      <c r="B33" s="2"/>
    </row>
    <row r="34" spans="2:2" x14ac:dyDescent="0.45">
      <c r="B34" s="2"/>
    </row>
    <row r="35" spans="2:2" x14ac:dyDescent="0.45">
      <c r="B35" s="2"/>
    </row>
    <row r="36" spans="2:2" x14ac:dyDescent="0.45">
      <c r="B36" s="2"/>
    </row>
    <row r="37" spans="2:2" x14ac:dyDescent="0.45">
      <c r="B37" s="2"/>
    </row>
    <row r="38" spans="2:2" x14ac:dyDescent="0.45">
      <c r="B38" s="2"/>
    </row>
    <row r="39" spans="2:2" x14ac:dyDescent="0.45">
      <c r="B39" s="2"/>
    </row>
    <row r="40" spans="2:2" x14ac:dyDescent="0.45">
      <c r="B40" s="2"/>
    </row>
    <row r="41" spans="2:2" x14ac:dyDescent="0.45">
      <c r="B41" s="2"/>
    </row>
    <row r="42" spans="2:2" x14ac:dyDescent="0.45">
      <c r="B42" s="2"/>
    </row>
    <row r="43" spans="2:2" x14ac:dyDescent="0.45">
      <c r="B43" s="2"/>
    </row>
    <row r="44" spans="2:2" x14ac:dyDescent="0.45">
      <c r="B44" s="2"/>
    </row>
    <row r="45" spans="2:2" x14ac:dyDescent="0.45">
      <c r="B45" s="2"/>
    </row>
    <row r="46" spans="2:2" x14ac:dyDescent="0.45">
      <c r="B46" s="2"/>
    </row>
    <row r="47" spans="2:2" x14ac:dyDescent="0.45">
      <c r="B47" s="2"/>
    </row>
    <row r="48" spans="2:2" x14ac:dyDescent="0.45">
      <c r="B48" s="2"/>
    </row>
    <row r="49" spans="2:2" x14ac:dyDescent="0.45">
      <c r="B49" s="2"/>
    </row>
    <row r="50" spans="2:2" x14ac:dyDescent="0.45">
      <c r="B50" s="2"/>
    </row>
    <row r="51" spans="2:2" x14ac:dyDescent="0.45">
      <c r="B5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Supplemental Table 1</vt:lpstr>
      <vt:lpstr>Supplemental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2026-04-09T10:42:18Z</dcterms:created>
  <dcterms:modified xsi:type="dcterms:W3CDTF">2026-04-09T10:42:41Z</dcterms:modified>
</cp:coreProperties>
</file>